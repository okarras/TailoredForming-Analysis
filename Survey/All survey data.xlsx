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5200" windowHeight="11850" activeTab="1"/>
  </bookViews>
  <sheets>
    <sheet name="Raw data" sheetId="4" r:id="rId1"/>
    <sheet name="Analyzed data" sheetId="5" r:id="rId2"/>
  </sheets>
  <calcPr calcId="162913"/>
</workbook>
</file>

<file path=xl/calcChain.xml><?xml version="1.0" encoding="utf-8"?>
<calcChain xmlns="http://schemas.openxmlformats.org/spreadsheetml/2006/main">
  <c r="AC33" i="5" l="1"/>
  <c r="AC41" i="5" s="1"/>
  <c r="AD33" i="5"/>
  <c r="AD41" i="5" s="1"/>
  <c r="AE33" i="5"/>
  <c r="AE41" i="5" s="1"/>
  <c r="AF33" i="5"/>
  <c r="AF41" i="5" s="1"/>
  <c r="AG33" i="5"/>
  <c r="AG41" i="5" s="1"/>
  <c r="AH33" i="5"/>
  <c r="AH41" i="5" s="1"/>
  <c r="AI33" i="5"/>
  <c r="AI41" i="5" s="1"/>
  <c r="AJ33" i="5"/>
  <c r="AJ41" i="5" s="1"/>
  <c r="AK33" i="5"/>
  <c r="AL33" i="5"/>
  <c r="AM33" i="5"/>
  <c r="AN33" i="5"/>
  <c r="AO33" i="5"/>
  <c r="AO41" i="5" s="1"/>
  <c r="AP33" i="5"/>
  <c r="AP41" i="5" s="1"/>
  <c r="AQ33" i="5"/>
  <c r="AQ41" i="5" s="1"/>
  <c r="AC34" i="5"/>
  <c r="AC42" i="5" s="1"/>
  <c r="AD34" i="5"/>
  <c r="AD42" i="5" s="1"/>
  <c r="AE34" i="5"/>
  <c r="AE42" i="5" s="1"/>
  <c r="AF34" i="5"/>
  <c r="AF42" i="5" s="1"/>
  <c r="AG34" i="5"/>
  <c r="AG42" i="5" s="1"/>
  <c r="AH34" i="5"/>
  <c r="AI34" i="5"/>
  <c r="AI42" i="5" s="1"/>
  <c r="AJ34" i="5"/>
  <c r="AJ42" i="5" s="1"/>
  <c r="AK34" i="5"/>
  <c r="AK42" i="5" s="1"/>
  <c r="AL34" i="5"/>
  <c r="AL42" i="5" s="1"/>
  <c r="AM34" i="5"/>
  <c r="AM42" i="5" s="1"/>
  <c r="AN34" i="5"/>
  <c r="AN42" i="5" s="1"/>
  <c r="AO34" i="5"/>
  <c r="AO42" i="5" s="1"/>
  <c r="AP34" i="5"/>
  <c r="AP42" i="5" s="1"/>
  <c r="AQ34" i="5"/>
  <c r="AQ42" i="5" s="1"/>
  <c r="AC35" i="5"/>
  <c r="AC44" i="5" s="1"/>
  <c r="AD35" i="5"/>
  <c r="AD44" i="5" s="1"/>
  <c r="AE35" i="5"/>
  <c r="AF35" i="5"/>
  <c r="AG35" i="5"/>
  <c r="AH35" i="5"/>
  <c r="AH44" i="5" s="1"/>
  <c r="AI35" i="5"/>
  <c r="AI43" i="5" s="1"/>
  <c r="AJ35" i="5"/>
  <c r="AJ43" i="5" s="1"/>
  <c r="AK35" i="5"/>
  <c r="AK43" i="5" s="1"/>
  <c r="AL35" i="5"/>
  <c r="AL43" i="5" s="1"/>
  <c r="AM35" i="5"/>
  <c r="AM43" i="5" s="1"/>
  <c r="AN35" i="5"/>
  <c r="AN43" i="5" s="1"/>
  <c r="AO35" i="5"/>
  <c r="AO44" i="5" s="1"/>
  <c r="AP35" i="5"/>
  <c r="AP44" i="5" s="1"/>
  <c r="AQ35" i="5"/>
  <c r="AC36" i="5"/>
  <c r="AC45" i="5" s="1"/>
  <c r="AD36" i="5"/>
  <c r="AD45" i="5" s="1"/>
  <c r="AE36" i="5"/>
  <c r="AE45" i="5" s="1"/>
  <c r="AF36" i="5"/>
  <c r="AF45" i="5" s="1"/>
  <c r="AG36" i="5"/>
  <c r="AG45" i="5" s="1"/>
  <c r="AH36" i="5"/>
  <c r="AH45" i="5" s="1"/>
  <c r="AI36" i="5"/>
  <c r="AI45" i="5" s="1"/>
  <c r="AJ36" i="5"/>
  <c r="AJ45" i="5" s="1"/>
  <c r="AK36" i="5"/>
  <c r="AK45" i="5" s="1"/>
  <c r="AL36" i="5"/>
  <c r="AL45" i="5" s="1"/>
  <c r="AM36" i="5"/>
  <c r="AM45" i="5" s="1"/>
  <c r="AN36" i="5"/>
  <c r="AN45" i="5" s="1"/>
  <c r="AO36" i="5"/>
  <c r="AO45" i="5" s="1"/>
  <c r="AP36" i="5"/>
  <c r="AP45" i="5" s="1"/>
  <c r="AQ36" i="5"/>
  <c r="AQ45" i="5" s="1"/>
  <c r="AC37" i="5"/>
  <c r="AC46" i="5" s="1"/>
  <c r="AD37" i="5"/>
  <c r="AD46" i="5" s="1"/>
  <c r="AE37" i="5"/>
  <c r="AE46" i="5" s="1"/>
  <c r="AF37" i="5"/>
  <c r="AF46" i="5" s="1"/>
  <c r="AG37" i="5"/>
  <c r="AG46" i="5" s="1"/>
  <c r="AH37" i="5"/>
  <c r="AH46" i="5" s="1"/>
  <c r="AI37" i="5"/>
  <c r="AI46" i="5" s="1"/>
  <c r="AJ37" i="5"/>
  <c r="AJ46" i="5" s="1"/>
  <c r="AK37" i="5"/>
  <c r="AK46" i="5" s="1"/>
  <c r="AL37" i="5"/>
  <c r="AL46" i="5" s="1"/>
  <c r="AM37" i="5"/>
  <c r="AM46" i="5" s="1"/>
  <c r="AN37" i="5"/>
  <c r="AN46" i="5" s="1"/>
  <c r="AO37" i="5"/>
  <c r="AO46" i="5" s="1"/>
  <c r="AP37" i="5"/>
  <c r="AP46" i="5" s="1"/>
  <c r="AQ37" i="5"/>
  <c r="AQ46" i="5" s="1"/>
  <c r="AB37" i="5"/>
  <c r="AB46" i="5" s="1"/>
  <c r="AB36" i="5"/>
  <c r="AB45" i="5" s="1"/>
  <c r="AB35" i="5"/>
  <c r="AB44" i="5" s="1"/>
  <c r="AB34" i="5"/>
  <c r="AB42" i="5" s="1"/>
  <c r="AB33" i="5"/>
  <c r="AB41" i="5" s="1"/>
  <c r="AA37" i="5"/>
  <c r="AA46" i="5" s="1"/>
  <c r="Z37" i="5"/>
  <c r="Z46" i="5" s="1"/>
  <c r="Y37" i="5"/>
  <c r="Y46" i="5" s="1"/>
  <c r="X37" i="5"/>
  <c r="X46" i="5" s="1"/>
  <c r="W37" i="5"/>
  <c r="W46" i="5" s="1"/>
  <c r="V37" i="5"/>
  <c r="V46" i="5" s="1"/>
  <c r="U37" i="5"/>
  <c r="U46" i="5" s="1"/>
  <c r="T37" i="5"/>
  <c r="T46" i="5" s="1"/>
  <c r="S37" i="5"/>
  <c r="S46" i="5" s="1"/>
  <c r="R37" i="5"/>
  <c r="R46" i="5" s="1"/>
  <c r="Q37" i="5"/>
  <c r="Q46" i="5" s="1"/>
  <c r="AA36" i="5"/>
  <c r="AA45" i="5" s="1"/>
  <c r="Z36" i="5"/>
  <c r="Z45" i="5" s="1"/>
  <c r="Y36" i="5"/>
  <c r="Y45" i="5" s="1"/>
  <c r="X36" i="5"/>
  <c r="X45" i="5" s="1"/>
  <c r="W36" i="5"/>
  <c r="W45" i="5" s="1"/>
  <c r="V36" i="5"/>
  <c r="V45" i="5" s="1"/>
  <c r="U36" i="5"/>
  <c r="U45" i="5" s="1"/>
  <c r="T36" i="5"/>
  <c r="T45" i="5" s="1"/>
  <c r="S36" i="5"/>
  <c r="S45" i="5" s="1"/>
  <c r="R36" i="5"/>
  <c r="R45" i="5" s="1"/>
  <c r="Q36" i="5"/>
  <c r="Q45" i="5" s="1"/>
  <c r="AA35" i="5"/>
  <c r="AA43" i="5" s="1"/>
  <c r="Z35" i="5"/>
  <c r="Z43" i="5" s="1"/>
  <c r="Y35" i="5"/>
  <c r="Y43" i="5" s="1"/>
  <c r="X35" i="5"/>
  <c r="X44" i="5" s="1"/>
  <c r="W35" i="5"/>
  <c r="W43" i="5" s="1"/>
  <c r="V35" i="5"/>
  <c r="V43" i="5" s="1"/>
  <c r="U35" i="5"/>
  <c r="U43" i="5" s="1"/>
  <c r="T35" i="5"/>
  <c r="T43" i="5" s="1"/>
  <c r="S35" i="5"/>
  <c r="S43" i="5" s="1"/>
  <c r="R35" i="5"/>
  <c r="R43" i="5" s="1"/>
  <c r="Q35" i="5"/>
  <c r="Q43" i="5" s="1"/>
  <c r="AA34" i="5"/>
  <c r="AA42" i="5" s="1"/>
  <c r="Z34" i="5"/>
  <c r="Z42" i="5" s="1"/>
  <c r="Y34" i="5"/>
  <c r="Y42" i="5" s="1"/>
  <c r="X34" i="5"/>
  <c r="X42" i="5" s="1"/>
  <c r="W34" i="5"/>
  <c r="W42" i="5" s="1"/>
  <c r="V34" i="5"/>
  <c r="V42" i="5" s="1"/>
  <c r="U34" i="5"/>
  <c r="U42" i="5" s="1"/>
  <c r="T34" i="5"/>
  <c r="T42" i="5" s="1"/>
  <c r="S34" i="5"/>
  <c r="S42" i="5" s="1"/>
  <c r="R34" i="5"/>
  <c r="R42" i="5" s="1"/>
  <c r="Q34" i="5"/>
  <c r="Q42" i="5" s="1"/>
  <c r="AA33" i="5"/>
  <c r="Z33" i="5"/>
  <c r="Y33" i="5"/>
  <c r="X33" i="5"/>
  <c r="W33" i="5"/>
  <c r="V33" i="5"/>
  <c r="U33" i="5"/>
  <c r="U41" i="5" s="1"/>
  <c r="T33" i="5"/>
  <c r="T41" i="5" s="1"/>
  <c r="S33" i="5"/>
  <c r="S41" i="5" s="1"/>
  <c r="R33" i="5"/>
  <c r="R41" i="5" s="1"/>
  <c r="Q33" i="5"/>
  <c r="Q41" i="5" s="1"/>
  <c r="P37" i="5"/>
  <c r="P46" i="5" s="1"/>
  <c r="O37" i="5"/>
  <c r="O46" i="5" s="1"/>
  <c r="N37" i="5"/>
  <c r="N46" i="5" s="1"/>
  <c r="M37" i="5"/>
  <c r="M46" i="5" s="1"/>
  <c r="L37" i="5"/>
  <c r="L46" i="5" s="1"/>
  <c r="K37" i="5"/>
  <c r="K46" i="5" s="1"/>
  <c r="J37" i="5"/>
  <c r="J46" i="5" s="1"/>
  <c r="I37" i="5"/>
  <c r="I46" i="5" s="1"/>
  <c r="H37" i="5"/>
  <c r="H46" i="5" s="1"/>
  <c r="G37" i="5"/>
  <c r="G46" i="5" s="1"/>
  <c r="F37" i="5"/>
  <c r="F46" i="5" s="1"/>
  <c r="P36" i="5"/>
  <c r="P45" i="5" s="1"/>
  <c r="O36" i="5"/>
  <c r="O45" i="5" s="1"/>
  <c r="N36" i="5"/>
  <c r="N45" i="5" s="1"/>
  <c r="M36" i="5"/>
  <c r="M45" i="5" s="1"/>
  <c r="L36" i="5"/>
  <c r="L45" i="5" s="1"/>
  <c r="K36" i="5"/>
  <c r="K45" i="5" s="1"/>
  <c r="J36" i="5"/>
  <c r="J45" i="5" s="1"/>
  <c r="I36" i="5"/>
  <c r="I45" i="5" s="1"/>
  <c r="H36" i="5"/>
  <c r="H45" i="5" s="1"/>
  <c r="G36" i="5"/>
  <c r="G45" i="5" s="1"/>
  <c r="F36" i="5"/>
  <c r="F45" i="5" s="1"/>
  <c r="P35" i="5"/>
  <c r="P43" i="5" s="1"/>
  <c r="O35" i="5"/>
  <c r="O43" i="5" s="1"/>
  <c r="N35" i="5"/>
  <c r="N44" i="5" s="1"/>
  <c r="M35" i="5"/>
  <c r="M43" i="5" s="1"/>
  <c r="L35" i="5"/>
  <c r="L44" i="5" s="1"/>
  <c r="K35" i="5"/>
  <c r="K43" i="5" s="1"/>
  <c r="J35" i="5"/>
  <c r="J44" i="5" s="1"/>
  <c r="I35" i="5"/>
  <c r="I43" i="5" s="1"/>
  <c r="H35" i="5"/>
  <c r="H44" i="5" s="1"/>
  <c r="G35" i="5"/>
  <c r="F35" i="5"/>
  <c r="P34" i="5"/>
  <c r="P42" i="5" s="1"/>
  <c r="O34" i="5"/>
  <c r="N34" i="5"/>
  <c r="M34" i="5"/>
  <c r="M42" i="5" s="1"/>
  <c r="L34" i="5"/>
  <c r="L42" i="5" s="1"/>
  <c r="K34" i="5"/>
  <c r="K42" i="5" s="1"/>
  <c r="J34" i="5"/>
  <c r="J42" i="5" s="1"/>
  <c r="I34" i="5"/>
  <c r="I42" i="5" s="1"/>
  <c r="H34" i="5"/>
  <c r="H42" i="5" s="1"/>
  <c r="G34" i="5"/>
  <c r="G42" i="5" s="1"/>
  <c r="F34" i="5"/>
  <c r="F42" i="5" s="1"/>
  <c r="P33" i="5"/>
  <c r="O33" i="5"/>
  <c r="O41" i="5" s="1"/>
  <c r="N33" i="5"/>
  <c r="N41" i="5" s="1"/>
  <c r="M33" i="5"/>
  <c r="L33" i="5"/>
  <c r="K33" i="5"/>
  <c r="K41" i="5" s="1"/>
  <c r="J33" i="5"/>
  <c r="J41" i="5" s="1"/>
  <c r="I33" i="5"/>
  <c r="H33" i="5"/>
  <c r="G33" i="5"/>
  <c r="G41" i="5" s="1"/>
  <c r="F33" i="5"/>
  <c r="F41" i="5" s="1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B29" i="5"/>
  <c r="AB28" i="5"/>
  <c r="AB27" i="5"/>
  <c r="AB26" i="5"/>
  <c r="AB25" i="5"/>
  <c r="R25" i="5"/>
  <c r="S25" i="5"/>
  <c r="T25" i="5"/>
  <c r="U25" i="5"/>
  <c r="V25" i="5"/>
  <c r="W25" i="5"/>
  <c r="X25" i="5"/>
  <c r="Y25" i="5"/>
  <c r="Z25" i="5"/>
  <c r="AA25" i="5"/>
  <c r="R26" i="5"/>
  <c r="S26" i="5"/>
  <c r="T26" i="5"/>
  <c r="U26" i="5"/>
  <c r="V26" i="5"/>
  <c r="W26" i="5"/>
  <c r="X26" i="5"/>
  <c r="Y26" i="5"/>
  <c r="Z26" i="5"/>
  <c r="AA26" i="5"/>
  <c r="R27" i="5"/>
  <c r="S27" i="5"/>
  <c r="T27" i="5"/>
  <c r="U27" i="5"/>
  <c r="V27" i="5"/>
  <c r="W27" i="5"/>
  <c r="X27" i="5"/>
  <c r="Y27" i="5"/>
  <c r="Z27" i="5"/>
  <c r="AA27" i="5"/>
  <c r="R28" i="5"/>
  <c r="S28" i="5"/>
  <c r="T28" i="5"/>
  <c r="U28" i="5"/>
  <c r="V28" i="5"/>
  <c r="W28" i="5"/>
  <c r="X28" i="5"/>
  <c r="Y28" i="5"/>
  <c r="Z28" i="5"/>
  <c r="AA28" i="5"/>
  <c r="R29" i="5"/>
  <c r="S29" i="5"/>
  <c r="T29" i="5"/>
  <c r="U29" i="5"/>
  <c r="V29" i="5"/>
  <c r="W29" i="5"/>
  <c r="X29" i="5"/>
  <c r="Y29" i="5"/>
  <c r="Z29" i="5"/>
  <c r="AA29" i="5"/>
  <c r="Q29" i="5"/>
  <c r="Q28" i="5"/>
  <c r="Q27" i="5"/>
  <c r="Q26" i="5"/>
  <c r="Q25" i="5"/>
  <c r="G25" i="5"/>
  <c r="H25" i="5"/>
  <c r="I25" i="5"/>
  <c r="J25" i="5"/>
  <c r="K25" i="5"/>
  <c r="L25" i="5"/>
  <c r="M25" i="5"/>
  <c r="N25" i="5"/>
  <c r="O25" i="5"/>
  <c r="P25" i="5"/>
  <c r="G26" i="5"/>
  <c r="H26" i="5"/>
  <c r="I26" i="5"/>
  <c r="J26" i="5"/>
  <c r="K26" i="5"/>
  <c r="L26" i="5"/>
  <c r="M26" i="5"/>
  <c r="N26" i="5"/>
  <c r="O26" i="5"/>
  <c r="P26" i="5"/>
  <c r="G27" i="5"/>
  <c r="H27" i="5"/>
  <c r="I27" i="5"/>
  <c r="J27" i="5"/>
  <c r="K27" i="5"/>
  <c r="L27" i="5"/>
  <c r="M27" i="5"/>
  <c r="N27" i="5"/>
  <c r="O27" i="5"/>
  <c r="P27" i="5"/>
  <c r="G28" i="5"/>
  <c r="H28" i="5"/>
  <c r="I28" i="5"/>
  <c r="J28" i="5"/>
  <c r="K28" i="5"/>
  <c r="L28" i="5"/>
  <c r="M28" i="5"/>
  <c r="N28" i="5"/>
  <c r="O28" i="5"/>
  <c r="P28" i="5"/>
  <c r="G29" i="5"/>
  <c r="H29" i="5"/>
  <c r="I29" i="5"/>
  <c r="J29" i="5"/>
  <c r="K29" i="5"/>
  <c r="L29" i="5"/>
  <c r="M29" i="5"/>
  <c r="N29" i="5"/>
  <c r="O29" i="5"/>
  <c r="P29" i="5"/>
  <c r="F25" i="5"/>
  <c r="F28" i="5"/>
  <c r="F29" i="5"/>
  <c r="F27" i="5"/>
  <c r="F26" i="5"/>
  <c r="D25" i="5"/>
  <c r="D28" i="5"/>
  <c r="D29" i="5"/>
  <c r="D27" i="5"/>
  <c r="D26" i="5"/>
  <c r="R38" i="5" l="1"/>
  <c r="W44" i="5"/>
  <c r="AQ38" i="5"/>
  <c r="AE38" i="5"/>
  <c r="AH38" i="5"/>
  <c r="AK38" i="5"/>
  <c r="L38" i="5"/>
  <c r="Y38" i="5"/>
  <c r="S38" i="5"/>
  <c r="M38" i="5"/>
  <c r="N38" i="5"/>
  <c r="Q44" i="5"/>
  <c r="J43" i="5"/>
  <c r="AI38" i="5"/>
  <c r="L43" i="5"/>
  <c r="AN44" i="5"/>
  <c r="I44" i="5"/>
  <c r="V38" i="5"/>
  <c r="V41" i="5"/>
  <c r="X43" i="5"/>
  <c r="Y44" i="5"/>
  <c r="AN38" i="5"/>
  <c r="AQ44" i="5"/>
  <c r="AE44" i="5"/>
  <c r="AH43" i="5"/>
  <c r="AN41" i="5"/>
  <c r="P38" i="5"/>
  <c r="F38" i="5"/>
  <c r="W38" i="5"/>
  <c r="W41" i="5"/>
  <c r="Z44" i="5"/>
  <c r="AG38" i="5"/>
  <c r="AM38" i="5"/>
  <c r="AG43" i="5"/>
  <c r="AM41" i="5"/>
  <c r="G38" i="5"/>
  <c r="M44" i="5"/>
  <c r="X38" i="5"/>
  <c r="Q38" i="5"/>
  <c r="X41" i="5"/>
  <c r="AA44" i="5"/>
  <c r="AF38" i="5"/>
  <c r="AL38" i="5"/>
  <c r="AB43" i="5"/>
  <c r="AF43" i="5"/>
  <c r="AL41" i="5"/>
  <c r="Y41" i="5"/>
  <c r="AQ43" i="5"/>
  <c r="AE43" i="5"/>
  <c r="AH42" i="5"/>
  <c r="AK41" i="5"/>
  <c r="Z38" i="5"/>
  <c r="Z41" i="5"/>
  <c r="AP38" i="5"/>
  <c r="AD38" i="5"/>
  <c r="AM44" i="5"/>
  <c r="AP43" i="5"/>
  <c r="AD43" i="5"/>
  <c r="H38" i="5"/>
  <c r="AA38" i="5"/>
  <c r="T38" i="5"/>
  <c r="AA41" i="5"/>
  <c r="R44" i="5"/>
  <c r="AO38" i="5"/>
  <c r="AC38" i="5"/>
  <c r="AL44" i="5"/>
  <c r="AO43" i="5"/>
  <c r="AC43" i="5"/>
  <c r="I38" i="5"/>
  <c r="U38" i="5"/>
  <c r="S44" i="5"/>
  <c r="AK44" i="5"/>
  <c r="J38" i="5"/>
  <c r="H43" i="5"/>
  <c r="T44" i="5"/>
  <c r="AJ38" i="5"/>
  <c r="AJ44" i="5"/>
  <c r="U44" i="5"/>
  <c r="AI44" i="5"/>
  <c r="V44" i="5"/>
  <c r="AG44" i="5"/>
  <c r="O38" i="5"/>
  <c r="AF44" i="5"/>
  <c r="AB38" i="5"/>
  <c r="K38" i="5"/>
  <c r="L41" i="5"/>
  <c r="N43" i="5"/>
  <c r="O44" i="5"/>
  <c r="M41" i="5"/>
  <c r="N42" i="5"/>
  <c r="P44" i="5"/>
  <c r="O42" i="5"/>
  <c r="P41" i="5"/>
  <c r="F43" i="5"/>
  <c r="G44" i="5"/>
  <c r="F44" i="5"/>
  <c r="G43" i="5"/>
  <c r="H41" i="5"/>
  <c r="K44" i="5"/>
  <c r="I41" i="5"/>
</calcChain>
</file>

<file path=xl/sharedStrings.xml><?xml version="1.0" encoding="utf-8"?>
<sst xmlns="http://schemas.openxmlformats.org/spreadsheetml/2006/main" count="691" uniqueCount="87">
  <si>
    <t>What is the highest educational degree you have obtained in engineering sciences?</t>
  </si>
  <si>
    <t>Strongly agree</t>
  </si>
  <si>
    <t>Neutral</t>
  </si>
  <si>
    <t>Agree</t>
  </si>
  <si>
    <t>Disagree</t>
  </si>
  <si>
    <t>Diploma</t>
  </si>
  <si>
    <t>Doctorate (Ph.D.)</t>
  </si>
  <si>
    <t>Strongly disagree</t>
  </si>
  <si>
    <t>Median</t>
  </si>
  <si>
    <t>Mean</t>
  </si>
  <si>
    <t>Standard deviation</t>
  </si>
  <si>
    <t>Materials</t>
  </si>
  <si>
    <t>Process steps</t>
  </si>
  <si>
    <t>Inputs</t>
  </si>
  <si>
    <t>Outputs</t>
  </si>
  <si>
    <t>Manufacturing methods</t>
  </si>
  <si>
    <t>Manufactured components</t>
  </si>
  <si>
    <t>Layers</t>
  </si>
  <si>
    <t>Qualities</t>
  </si>
  <si>
    <t>Measurement methods</t>
  </si>
  <si>
    <t>Measurements</t>
  </si>
  <si>
    <t>Material</t>
  </si>
  <si>
    <t>Process chains</t>
  </si>
  <si>
    <t>How many years of professional experience do you have in engineering sciences?</t>
  </si>
  <si>
    <t>Expert type</t>
  </si>
  <si>
    <t>External</t>
  </si>
  <si>
    <t>In which subject area of engineering sciences are you a professional?</t>
  </si>
  <si>
    <t>Mechanical and Industrial Engineering</t>
  </si>
  <si>
    <t>Computer Science, Systems, and Electrical Engineering</t>
  </si>
  <si>
    <t>Material Sciences and Engineering</t>
  </si>
  <si>
    <t>CRC 1153</t>
  </si>
  <si>
    <t>NA</t>
  </si>
  <si>
    <t>Date of participation</t>
  </si>
  <si>
    <t>Master's degree</t>
  </si>
  <si>
    <t>For each topic listed below, please assess the following statement: The topic [...] is useful for describing process chains in engineering sciences.
1 = Strongly disagree, 2 = Disagree, 3 = Neutral, 4 = Agree, 5 = Strongly agree</t>
  </si>
  <si>
    <t>Competency question 1</t>
  </si>
  <si>
    <t>Answer with visualization 1</t>
  </si>
  <si>
    <t>Competency question 2</t>
  </si>
  <si>
    <t>Answer with visualization 2</t>
  </si>
  <si>
    <t>Competency question 3</t>
  </si>
  <si>
    <t>Answer with visualization 3</t>
  </si>
  <si>
    <t>Competency question 4</t>
  </si>
  <si>
    <t>Answer with visualization 4</t>
  </si>
  <si>
    <t>Competency question 5</t>
  </si>
  <si>
    <t>Answer with visualization 5</t>
  </si>
  <si>
    <t>Competency question 6</t>
  </si>
  <si>
    <t>Answer with visualization 6</t>
  </si>
  <si>
    <t>Competency question 7</t>
  </si>
  <si>
    <t>Answer with visualization 7</t>
  </si>
  <si>
    <t>Competency question 8</t>
  </si>
  <si>
    <t>Answer with visualization 8</t>
  </si>
  <si>
    <t>For each competency question and answer with visualization listed below, please assess the following statement: [...] is relevant for Tailored Forming Process Chains in engineering sciences.
1 = Strongly disagree, 2 = Disagree, 3 = Neutral, 4 = Agree, 5 = Strongly agree</t>
  </si>
  <si>
    <t>Please indicate how much you agree with each of the following statements.
1 = Strongly disagree, 2 = Disagree, 3 = Neutral, 4 = Agree, 5 = Strongly agree</t>
  </si>
  <si>
    <r>
      <t xml:space="preserve">A </t>
    </r>
    <r>
      <rPr>
        <b/>
        <sz val="10"/>
        <color theme="1"/>
        <rFont val="Arial"/>
        <family val="2"/>
        <scheme val="minor"/>
      </rPr>
      <t>measurement</t>
    </r>
    <r>
      <rPr>
        <sz val="10"/>
        <color theme="1"/>
        <rFont val="Arial"/>
        <scheme val="minor"/>
      </rPr>
      <t xml:space="preserve"> has a value and a unit.</t>
    </r>
  </si>
  <si>
    <r>
      <t xml:space="preserve">A </t>
    </r>
    <r>
      <rPr>
        <b/>
        <sz val="10"/>
        <color theme="1"/>
        <rFont val="Arial"/>
        <family val="2"/>
        <scheme val="minor"/>
      </rPr>
      <t>measurement method</t>
    </r>
    <r>
      <rPr>
        <sz val="10"/>
        <color theme="1"/>
        <rFont val="Arial"/>
        <scheme val="minor"/>
      </rPr>
      <t xml:space="preserve"> has an output of a step as the object of investigation and one or more measurements.</t>
    </r>
  </si>
  <si>
    <r>
      <t xml:space="preserve">A </t>
    </r>
    <r>
      <rPr>
        <b/>
        <sz val="10"/>
        <color theme="1"/>
        <rFont val="Arial"/>
        <family val="2"/>
        <scheme val="minor"/>
      </rPr>
      <t>quality</t>
    </r>
    <r>
      <rPr>
        <sz val="10"/>
        <color theme="1"/>
        <rFont val="Arial"/>
        <scheme val="minor"/>
      </rPr>
      <t xml:space="preserve"> is measured by one or more measurements.</t>
    </r>
  </si>
  <si>
    <r>
      <t xml:space="preserve">A </t>
    </r>
    <r>
      <rPr>
        <b/>
        <sz val="10"/>
        <color theme="1"/>
        <rFont val="Arial"/>
        <family val="2"/>
        <scheme val="minor"/>
      </rPr>
      <t>layer</t>
    </r>
    <r>
      <rPr>
        <sz val="10"/>
        <color theme="1"/>
        <rFont val="Arial"/>
        <family val="2"/>
        <scheme val="minor"/>
      </rPr>
      <t xml:space="preserve"> consists of a material.</t>
    </r>
  </si>
  <si>
    <r>
      <t xml:space="preserve">A </t>
    </r>
    <r>
      <rPr>
        <b/>
        <sz val="10"/>
        <color theme="1"/>
        <rFont val="Arial"/>
        <family val="2"/>
        <scheme val="minor"/>
      </rPr>
      <t>manufactured component</t>
    </r>
    <r>
      <rPr>
        <sz val="10"/>
        <color theme="1"/>
        <rFont val="Arial"/>
        <family val="2"/>
        <scheme val="minor"/>
      </rPr>
      <t xml:space="preserve"> has one or more layers.</t>
    </r>
  </si>
  <si>
    <r>
      <t xml:space="preserve">A </t>
    </r>
    <r>
      <rPr>
        <b/>
        <sz val="10"/>
        <color theme="1"/>
        <rFont val="Arial"/>
        <family val="2"/>
        <scheme val="minor"/>
      </rPr>
      <t>manufacturing method</t>
    </r>
    <r>
      <rPr>
        <sz val="10"/>
        <color theme="1"/>
        <rFont val="Arial"/>
        <family val="2"/>
        <scheme val="minor"/>
      </rPr>
      <t xml:space="preserve"> is the method used in a step to manufacture the output of the step. </t>
    </r>
  </si>
  <si>
    <r>
      <t xml:space="preserve">An </t>
    </r>
    <r>
      <rPr>
        <b/>
        <sz val="10"/>
        <color theme="1"/>
        <rFont val="Arial"/>
        <family val="2"/>
        <scheme val="minor"/>
      </rPr>
      <t>output</t>
    </r>
    <r>
      <rPr>
        <sz val="10"/>
        <color theme="1"/>
        <rFont val="Arial"/>
        <family val="2"/>
        <scheme val="minor"/>
      </rPr>
      <t xml:space="preserve"> is a manufactured component.</t>
    </r>
  </si>
  <si>
    <r>
      <t xml:space="preserve">An </t>
    </r>
    <r>
      <rPr>
        <b/>
        <sz val="10"/>
        <color theme="1"/>
        <rFont val="Arial"/>
        <family val="2"/>
        <scheme val="minor"/>
      </rPr>
      <t>input</t>
    </r>
    <r>
      <rPr>
        <sz val="10"/>
        <color theme="1"/>
        <rFont val="Arial"/>
        <family val="2"/>
        <scheme val="minor"/>
      </rPr>
      <t xml:space="preserve"> is either one or more materials or the output of the previous step.</t>
    </r>
  </si>
  <si>
    <r>
      <t xml:space="preserve">A </t>
    </r>
    <r>
      <rPr>
        <b/>
        <sz val="10"/>
        <color theme="1"/>
        <rFont val="Arial"/>
        <family val="2"/>
        <scheme val="minor"/>
      </rPr>
      <t>step</t>
    </r>
    <r>
      <rPr>
        <sz val="10"/>
        <color theme="1"/>
        <rFont val="Arial"/>
        <family val="2"/>
        <scheme val="minor"/>
      </rPr>
      <t xml:space="preserve"> can have a previous step and a next step, and it has an input, an output, one or more manufacturing methods, and one or more measurement methods.</t>
    </r>
  </si>
  <si>
    <r>
      <t xml:space="preserve">A </t>
    </r>
    <r>
      <rPr>
        <b/>
        <sz val="10"/>
        <color theme="1"/>
        <rFont val="Arial"/>
        <family val="2"/>
        <scheme val="minor"/>
      </rPr>
      <t>process chain</t>
    </r>
    <r>
      <rPr>
        <sz val="10"/>
        <color theme="1"/>
        <rFont val="Arial"/>
        <scheme val="minor"/>
      </rPr>
      <t xml:space="preserve"> has two or more steps, a start step, an end step, an input, and an output.</t>
    </r>
  </si>
  <si>
    <r>
      <t xml:space="preserve">A </t>
    </r>
    <r>
      <rPr>
        <b/>
        <sz val="10"/>
        <color theme="1"/>
        <rFont val="Arial"/>
        <family val="2"/>
        <scheme val="minor"/>
      </rPr>
      <t>material</t>
    </r>
    <r>
      <rPr>
        <sz val="10"/>
        <color theme="1"/>
        <rFont val="Arial"/>
        <scheme val="minor"/>
      </rPr>
      <t xml:space="preserve"> has one or more qualities that are measured.</t>
    </r>
  </si>
  <si>
    <t>Maximum</t>
  </si>
  <si>
    <t>Minimum</t>
  </si>
  <si>
    <t>Not applicable</t>
  </si>
  <si>
    <t>Label</t>
  </si>
  <si>
    <t>Sum</t>
  </si>
  <si>
    <t>Visualization data</t>
  </si>
  <si>
    <t>Statement: Material</t>
  </si>
  <si>
    <t>Statement: Process chain</t>
  </si>
  <si>
    <t>Statement: Process step</t>
  </si>
  <si>
    <t>Statement: Input</t>
  </si>
  <si>
    <t>Statement: Output</t>
  </si>
  <si>
    <t>Statement: Manufacturing method</t>
  </si>
  <si>
    <t>Statement: Manufactured component</t>
  </si>
  <si>
    <t>Statement: Layer</t>
  </si>
  <si>
    <t>Statement: Quality</t>
  </si>
  <si>
    <t>Statement: Measurement method</t>
  </si>
  <si>
    <t>Statment: Measurement</t>
  </si>
  <si>
    <r>
      <t xml:space="preserve">A </t>
    </r>
    <r>
      <rPr>
        <b/>
        <sz val="10"/>
        <color theme="1"/>
        <rFont val="Arial"/>
        <family val="2"/>
        <scheme val="minor"/>
      </rPr>
      <t>measurement method</t>
    </r>
    <r>
      <rPr>
        <sz val="10"/>
        <color theme="1"/>
        <rFont val="Arial"/>
        <scheme val="minor"/>
      </rPr>
      <t xml:space="preserve"> has an output of a process step as the object of investigation and one or more measurements.</t>
    </r>
  </si>
  <si>
    <r>
      <t xml:space="preserve">A </t>
    </r>
    <r>
      <rPr>
        <b/>
        <sz val="10"/>
        <color theme="1"/>
        <rFont val="Arial"/>
        <family val="2"/>
        <scheme val="minor"/>
      </rPr>
      <t>manufacturing method</t>
    </r>
    <r>
      <rPr>
        <sz val="10"/>
        <color theme="1"/>
        <rFont val="Arial"/>
        <family val="2"/>
        <scheme val="minor"/>
      </rPr>
      <t xml:space="preserve"> is the method used in a process step to manufacture the output of the process step. </t>
    </r>
  </si>
  <si>
    <r>
      <t xml:space="preserve">An </t>
    </r>
    <r>
      <rPr>
        <b/>
        <sz val="10"/>
        <color theme="1"/>
        <rFont val="Arial"/>
        <family val="2"/>
        <scheme val="minor"/>
      </rPr>
      <t>input</t>
    </r>
    <r>
      <rPr>
        <sz val="10"/>
        <color theme="1"/>
        <rFont val="Arial"/>
        <family val="2"/>
        <scheme val="minor"/>
      </rPr>
      <t xml:space="preserve"> is either one or more materials or the output of the previous process step.</t>
    </r>
  </si>
  <si>
    <r>
      <t xml:space="preserve">A </t>
    </r>
    <r>
      <rPr>
        <b/>
        <sz val="10"/>
        <color theme="1"/>
        <rFont val="Arial"/>
        <family val="2"/>
        <scheme val="minor"/>
      </rPr>
      <t>process step</t>
    </r>
    <r>
      <rPr>
        <sz val="10"/>
        <color theme="1"/>
        <rFont val="Arial"/>
        <family val="2"/>
        <scheme val="minor"/>
      </rPr>
      <t xml:space="preserve"> can have a previous process step and a next process step, and it has an input, an output, one or more manufacturing methods, and one or more measurement methods.</t>
    </r>
  </si>
  <si>
    <r>
      <t xml:space="preserve">A </t>
    </r>
    <r>
      <rPr>
        <b/>
        <sz val="10"/>
        <color theme="1"/>
        <rFont val="Arial"/>
        <family val="2"/>
        <scheme val="minor"/>
      </rPr>
      <t>process chain</t>
    </r>
    <r>
      <rPr>
        <sz val="10"/>
        <color theme="1"/>
        <rFont val="Arial"/>
        <scheme val="minor"/>
      </rPr>
      <t xml:space="preserve"> has two or more process steps, a start process step, an end process step, an input, and an output.</t>
    </r>
  </si>
  <si>
    <r>
      <t xml:space="preserve">A </t>
    </r>
    <r>
      <rPr>
        <b/>
        <sz val="10"/>
        <color theme="1"/>
        <rFont val="Arial"/>
        <family val="2"/>
        <scheme val="minor"/>
      </rPr>
      <t>process chain</t>
    </r>
    <r>
      <rPr>
        <sz val="10"/>
        <color theme="1"/>
        <rFont val="Arial"/>
        <family val="2"/>
        <scheme val="minor"/>
      </rPr>
      <t xml:space="preserve"> has two or more process steps, a start process step, an end process step, an input, and an output.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</si>
</sst>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2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14" fontId="1" fillId="0" borderId="8" xfId="0" applyNumberFormat="1" applyFont="1" applyFill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1" fillId="0" borderId="14" xfId="0" applyNumberFormat="1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14" fontId="1" fillId="0" borderId="11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14" fontId="1" fillId="0" borderId="6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164" fontId="0" fillId="0" borderId="4" xfId="0" applyNumberFormat="1" applyFont="1" applyBorder="1" applyAlignment="1">
      <alignment horizontal="center" vertical="center"/>
    </xf>
    <xf numFmtId="1" fontId="0" fillId="0" borderId="4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164" fontId="0" fillId="0" borderId="13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164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64" fontId="0" fillId="0" borderId="23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164" fontId="0" fillId="0" borderId="8" xfId="0" applyNumberFormat="1" applyFont="1" applyBorder="1" applyAlignment="1">
      <alignment horizontal="center" vertical="center"/>
    </xf>
    <xf numFmtId="164" fontId="0" fillId="0" borderId="9" xfId="0" applyNumberFormat="1" applyFont="1" applyBorder="1" applyAlignment="1">
      <alignment horizontal="center" vertical="center"/>
    </xf>
    <xf numFmtId="1" fontId="0" fillId="0" borderId="8" xfId="0" applyNumberFormat="1" applyFont="1" applyBorder="1" applyAlignment="1">
      <alignment horizontal="center" vertical="center"/>
    </xf>
    <xf numFmtId="1" fontId="0" fillId="0" borderId="9" xfId="0" applyNumberFormat="1" applyFont="1" applyBorder="1" applyAlignment="1">
      <alignment horizontal="center" vertical="center"/>
    </xf>
    <xf numFmtId="164" fontId="0" fillId="0" borderId="10" xfId="0" applyNumberFormat="1" applyFont="1" applyBorder="1" applyAlignment="1">
      <alignment horizontal="center" vertical="center"/>
    </xf>
    <xf numFmtId="164" fontId="0" fillId="0" borderId="11" xfId="0" applyNumberFormat="1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64" fontId="0" fillId="0" borderId="5" xfId="0" applyNumberFormat="1" applyFont="1" applyBorder="1" applyAlignment="1">
      <alignment horizontal="center" vertical="center"/>
    </xf>
    <xf numFmtId="1" fontId="0" fillId="0" borderId="5" xfId="0" applyNumberFormat="1" applyFont="1" applyBorder="1" applyAlignment="1">
      <alignment horizontal="center" vertical="center"/>
    </xf>
    <xf numFmtId="164" fontId="0" fillId="0" borderId="30" xfId="0" applyNumberFormat="1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0" fillId="0" borderId="33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1" xfId="0" applyFont="1" applyBorder="1" applyAlignment="1">
      <alignment vertical="center" wrapText="1"/>
    </xf>
    <xf numFmtId="0" fontId="2" fillId="0" borderId="37" xfId="0" applyFont="1" applyBorder="1" applyAlignment="1">
      <alignment vertical="center" wrapText="1"/>
    </xf>
    <xf numFmtId="0" fontId="3" fillId="0" borderId="31" xfId="0" applyFont="1" applyBorder="1" applyAlignment="1">
      <alignment horizontal="center" vertical="center"/>
    </xf>
    <xf numFmtId="0" fontId="2" fillId="0" borderId="41" xfId="0" applyFont="1" applyBorder="1" applyAlignment="1">
      <alignment vertical="center" wrapText="1"/>
    </xf>
    <xf numFmtId="0" fontId="0" fillId="0" borderId="22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0" fillId="0" borderId="0" xfId="0" applyFont="1" applyFill="1" applyAlignment="1"/>
    <xf numFmtId="164" fontId="0" fillId="0" borderId="12" xfId="0" applyNumberFormat="1" applyFont="1" applyFill="1" applyBorder="1" applyAlignment="1">
      <alignment horizontal="center" vertical="center"/>
    </xf>
    <xf numFmtId="164" fontId="0" fillId="0" borderId="4" xfId="0" applyNumberFormat="1" applyFont="1" applyFill="1" applyBorder="1" applyAlignment="1">
      <alignment horizontal="center" vertical="center"/>
    </xf>
    <xf numFmtId="164" fontId="0" fillId="0" borderId="13" xfId="0" applyNumberFormat="1" applyFont="1" applyFill="1" applyBorder="1" applyAlignment="1">
      <alignment horizontal="center" vertical="center"/>
    </xf>
    <xf numFmtId="14" fontId="1" fillId="0" borderId="33" xfId="0" applyNumberFormat="1" applyFont="1" applyBorder="1" applyAlignment="1">
      <alignment horizontal="center" vertical="center"/>
    </xf>
    <xf numFmtId="14" fontId="2" fillId="0" borderId="36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left" vertical="center"/>
    </xf>
    <xf numFmtId="0" fontId="2" fillId="0" borderId="38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4" fillId="0" borderId="0" xfId="1" applyAlignment="1"/>
    <xf numFmtId="0" fontId="3" fillId="0" borderId="2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20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3" fillId="0" borderId="22" xfId="0" applyFont="1" applyBorder="1" applyAlignment="1">
      <alignment horizontal="right" vertical="center"/>
    </xf>
    <xf numFmtId="0" fontId="3" fillId="0" borderId="8" xfId="0" applyFont="1" applyFill="1" applyBorder="1" applyAlignment="1">
      <alignment horizontal="right" vertical="center"/>
    </xf>
    <xf numFmtId="0" fontId="3" fillId="0" borderId="22" xfId="0" applyFont="1" applyFill="1" applyBorder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0" fontId="3" fillId="0" borderId="23" xfId="0" applyFont="1" applyBorder="1" applyAlignment="1">
      <alignment horizontal="right" vertic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de-DE" sz="1400" b="0" i="0" baseline="0">
                <a:solidFill>
                  <a:sysClr val="windowText" lastClr="000000"/>
                </a:solidFill>
                <a:effectLst/>
                <a:latin typeface="Book Antiqua" panose="02040602050305030304" pitchFamily="18" charset="0"/>
              </a:rPr>
              <a:t>The topic [...] is useful for describing process chains </a:t>
            </a:r>
            <a:r>
              <a:rPr lang="de-DE" sz="1400" b="0" i="0" u="none" strike="noStrike" baseline="0">
                <a:solidFill>
                  <a:sysClr val="windowText" lastClr="000000"/>
                </a:solidFill>
                <a:effectLst/>
              </a:rPr>
              <a:t>in engineering sciences</a:t>
            </a:r>
            <a:r>
              <a:rPr lang="de-DE" sz="1400" b="0" i="0" baseline="0">
                <a:solidFill>
                  <a:sysClr val="windowText" lastClr="000000"/>
                </a:solidFill>
                <a:effectLst/>
                <a:latin typeface="Book Antiqua" panose="02040602050305030304" pitchFamily="18" charset="0"/>
              </a:rPr>
              <a:t>.</a:t>
            </a:r>
            <a:endParaRPr lang="de-DE" sz="1400">
              <a:solidFill>
                <a:sysClr val="windowText" lastClr="000000"/>
              </a:solidFill>
              <a:effectLst/>
              <a:latin typeface="Book Antiqua" panose="0204060205030503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'Analyzed data'!$E$43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'Analyzed data'!$F$40:$P$40</c:f>
              <c:strCache>
                <c:ptCount val="11"/>
                <c:pt idx="0">
                  <c:v>Material</c:v>
                </c:pt>
                <c:pt idx="1">
                  <c:v>Process chains</c:v>
                </c:pt>
                <c:pt idx="2">
                  <c:v>Process steps</c:v>
                </c:pt>
                <c:pt idx="3">
                  <c:v>Inputs</c:v>
                </c:pt>
                <c:pt idx="4">
                  <c:v>Outputs</c:v>
                </c:pt>
                <c:pt idx="5">
                  <c:v>Manufacturing methods</c:v>
                </c:pt>
                <c:pt idx="6">
                  <c:v>Manufactured components</c:v>
                </c:pt>
                <c:pt idx="7">
                  <c:v>Layers</c:v>
                </c:pt>
                <c:pt idx="8">
                  <c:v>Qualities</c:v>
                </c:pt>
                <c:pt idx="9">
                  <c:v>Measurement methods</c:v>
                </c:pt>
                <c:pt idx="10">
                  <c:v>Measurements</c:v>
                </c:pt>
              </c:strCache>
            </c:strRef>
          </c:cat>
          <c:val>
            <c:numRef>
              <c:f>'Analyzed data'!$F$43:$P$43</c:f>
              <c:numCache>
                <c:formatCode>General</c:formatCode>
                <c:ptCount val="11"/>
                <c:pt idx="0">
                  <c:v>1.5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0.5</c:v>
                </c:pt>
                <c:pt idx="5">
                  <c:v>1.5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1.5</c:v>
                </c:pt>
                <c:pt idx="1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2-4DAC-94E8-884D70A730C9}"/>
            </c:ext>
          </c:extLst>
        </c:ser>
        <c:ser>
          <c:idx val="1"/>
          <c:order val="1"/>
          <c:tx>
            <c:strRef>
              <c:f>'Analyzed data'!$E$42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'Analyzed data'!$F$40:$P$40</c:f>
              <c:strCache>
                <c:ptCount val="11"/>
                <c:pt idx="0">
                  <c:v>Material</c:v>
                </c:pt>
                <c:pt idx="1">
                  <c:v>Process chains</c:v>
                </c:pt>
                <c:pt idx="2">
                  <c:v>Process steps</c:v>
                </c:pt>
                <c:pt idx="3">
                  <c:v>Inputs</c:v>
                </c:pt>
                <c:pt idx="4">
                  <c:v>Outputs</c:v>
                </c:pt>
                <c:pt idx="5">
                  <c:v>Manufacturing methods</c:v>
                </c:pt>
                <c:pt idx="6">
                  <c:v>Manufactured components</c:v>
                </c:pt>
                <c:pt idx="7">
                  <c:v>Layers</c:v>
                </c:pt>
                <c:pt idx="8">
                  <c:v>Qualities</c:v>
                </c:pt>
                <c:pt idx="9">
                  <c:v>Measurement methods</c:v>
                </c:pt>
                <c:pt idx="10">
                  <c:v>Measurements</c:v>
                </c:pt>
              </c:strCache>
            </c:strRef>
          </c:cat>
          <c:val>
            <c:numRef>
              <c:f>'Analyzed data'!$F$42:$P$42</c:f>
              <c:numCache>
                <c:formatCode>General</c:formatCode>
                <c:ptCount val="11"/>
                <c:pt idx="0">
                  <c:v>6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6</c:v>
                </c:pt>
                <c:pt idx="5">
                  <c:v>7</c:v>
                </c:pt>
                <c:pt idx="6">
                  <c:v>7</c:v>
                </c:pt>
                <c:pt idx="7">
                  <c:v>11</c:v>
                </c:pt>
                <c:pt idx="8">
                  <c:v>8</c:v>
                </c:pt>
                <c:pt idx="9">
                  <c:v>5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12-4DAC-94E8-884D70A730C9}"/>
            </c:ext>
          </c:extLst>
        </c:ser>
        <c:ser>
          <c:idx val="2"/>
          <c:order val="2"/>
          <c:tx>
            <c:strRef>
              <c:f>'Analyzed data'!$E$41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'Analyzed data'!$F$40:$P$40</c:f>
              <c:strCache>
                <c:ptCount val="11"/>
                <c:pt idx="0">
                  <c:v>Material</c:v>
                </c:pt>
                <c:pt idx="1">
                  <c:v>Process chains</c:v>
                </c:pt>
                <c:pt idx="2">
                  <c:v>Process steps</c:v>
                </c:pt>
                <c:pt idx="3">
                  <c:v>Inputs</c:v>
                </c:pt>
                <c:pt idx="4">
                  <c:v>Outputs</c:v>
                </c:pt>
                <c:pt idx="5">
                  <c:v>Manufacturing methods</c:v>
                </c:pt>
                <c:pt idx="6">
                  <c:v>Manufactured components</c:v>
                </c:pt>
                <c:pt idx="7">
                  <c:v>Layers</c:v>
                </c:pt>
                <c:pt idx="8">
                  <c:v>Qualities</c:v>
                </c:pt>
                <c:pt idx="9">
                  <c:v>Measurement methods</c:v>
                </c:pt>
                <c:pt idx="10">
                  <c:v>Measurements</c:v>
                </c:pt>
              </c:strCache>
            </c:strRef>
          </c:cat>
          <c:val>
            <c:numRef>
              <c:f>'Analyzed data'!$F$41:$P$41</c:f>
              <c:numCache>
                <c:formatCode>General</c:formatCode>
                <c:ptCount val="11"/>
                <c:pt idx="0">
                  <c:v>12</c:v>
                </c:pt>
                <c:pt idx="1">
                  <c:v>19</c:v>
                </c:pt>
                <c:pt idx="2">
                  <c:v>18</c:v>
                </c:pt>
                <c:pt idx="3">
                  <c:v>14</c:v>
                </c:pt>
                <c:pt idx="4">
                  <c:v>14</c:v>
                </c:pt>
                <c:pt idx="5">
                  <c:v>11</c:v>
                </c:pt>
                <c:pt idx="6">
                  <c:v>8</c:v>
                </c:pt>
                <c:pt idx="7">
                  <c:v>6</c:v>
                </c:pt>
                <c:pt idx="8">
                  <c:v>9</c:v>
                </c:pt>
                <c:pt idx="9">
                  <c:v>13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12-4DAC-94E8-884D70A730C9}"/>
            </c:ext>
          </c:extLst>
        </c:ser>
        <c:ser>
          <c:idx val="3"/>
          <c:order val="3"/>
          <c:tx>
            <c:strRef>
              <c:f>'Analyzed data'!$E$44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'Analyzed data'!$F$40:$P$40</c:f>
              <c:strCache>
                <c:ptCount val="11"/>
                <c:pt idx="0">
                  <c:v>Material</c:v>
                </c:pt>
                <c:pt idx="1">
                  <c:v>Process chains</c:v>
                </c:pt>
                <c:pt idx="2">
                  <c:v>Process steps</c:v>
                </c:pt>
                <c:pt idx="3">
                  <c:v>Inputs</c:v>
                </c:pt>
                <c:pt idx="4">
                  <c:v>Outputs</c:v>
                </c:pt>
                <c:pt idx="5">
                  <c:v>Manufacturing methods</c:v>
                </c:pt>
                <c:pt idx="6">
                  <c:v>Manufactured components</c:v>
                </c:pt>
                <c:pt idx="7">
                  <c:v>Layers</c:v>
                </c:pt>
                <c:pt idx="8">
                  <c:v>Qualities</c:v>
                </c:pt>
                <c:pt idx="9">
                  <c:v>Measurement methods</c:v>
                </c:pt>
                <c:pt idx="10">
                  <c:v>Measurements</c:v>
                </c:pt>
              </c:strCache>
            </c:strRef>
          </c:cat>
          <c:val>
            <c:numRef>
              <c:f>'Analyzed data'!$F$44:$P$44</c:f>
              <c:numCache>
                <c:formatCode>General</c:formatCode>
                <c:ptCount val="11"/>
                <c:pt idx="0">
                  <c:v>-1.5</c:v>
                </c:pt>
                <c:pt idx="1">
                  <c:v>0</c:v>
                </c:pt>
                <c:pt idx="2">
                  <c:v>0</c:v>
                </c:pt>
                <c:pt idx="3">
                  <c:v>-0.5</c:v>
                </c:pt>
                <c:pt idx="4">
                  <c:v>-0.5</c:v>
                </c:pt>
                <c:pt idx="5">
                  <c:v>-1.5</c:v>
                </c:pt>
                <c:pt idx="6">
                  <c:v>-3</c:v>
                </c:pt>
                <c:pt idx="7">
                  <c:v>-2</c:v>
                </c:pt>
                <c:pt idx="8">
                  <c:v>-2</c:v>
                </c:pt>
                <c:pt idx="9">
                  <c:v>-1.5</c:v>
                </c:pt>
                <c:pt idx="10">
                  <c:v>-0.5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12-4DAC-94E8-884D70A730C9}"/>
            </c:ext>
          </c:extLst>
        </c:ser>
        <c:ser>
          <c:idx val="4"/>
          <c:order val="4"/>
          <c:tx>
            <c:strRef>
              <c:f>'Analyzed data'!$E$45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'Analyzed data'!$F$40:$P$40</c:f>
              <c:strCache>
                <c:ptCount val="11"/>
                <c:pt idx="0">
                  <c:v>Material</c:v>
                </c:pt>
                <c:pt idx="1">
                  <c:v>Process chains</c:v>
                </c:pt>
                <c:pt idx="2">
                  <c:v>Process steps</c:v>
                </c:pt>
                <c:pt idx="3">
                  <c:v>Inputs</c:v>
                </c:pt>
                <c:pt idx="4">
                  <c:v>Outputs</c:v>
                </c:pt>
                <c:pt idx="5">
                  <c:v>Manufacturing methods</c:v>
                </c:pt>
                <c:pt idx="6">
                  <c:v>Manufactured components</c:v>
                </c:pt>
                <c:pt idx="7">
                  <c:v>Layers</c:v>
                </c:pt>
                <c:pt idx="8">
                  <c:v>Qualities</c:v>
                </c:pt>
                <c:pt idx="9">
                  <c:v>Measurement methods</c:v>
                </c:pt>
                <c:pt idx="10">
                  <c:v>Measurements</c:v>
                </c:pt>
              </c:strCache>
            </c:strRef>
          </c:cat>
          <c:val>
            <c:numRef>
              <c:f>'Analyzed data'!$F$45:$P$45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12-4DAC-94E8-884D70A730C9}"/>
            </c:ext>
          </c:extLst>
        </c:ser>
        <c:ser>
          <c:idx val="5"/>
          <c:order val="5"/>
          <c:tx>
            <c:strRef>
              <c:f>'Analyzed data'!$E$46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'Analyzed data'!$F$40:$P$40</c:f>
              <c:strCache>
                <c:ptCount val="11"/>
                <c:pt idx="0">
                  <c:v>Material</c:v>
                </c:pt>
                <c:pt idx="1">
                  <c:v>Process chains</c:v>
                </c:pt>
                <c:pt idx="2">
                  <c:v>Process steps</c:v>
                </c:pt>
                <c:pt idx="3">
                  <c:v>Inputs</c:v>
                </c:pt>
                <c:pt idx="4">
                  <c:v>Outputs</c:v>
                </c:pt>
                <c:pt idx="5">
                  <c:v>Manufacturing methods</c:v>
                </c:pt>
                <c:pt idx="6">
                  <c:v>Manufactured components</c:v>
                </c:pt>
                <c:pt idx="7">
                  <c:v>Layers</c:v>
                </c:pt>
                <c:pt idx="8">
                  <c:v>Qualities</c:v>
                </c:pt>
                <c:pt idx="9">
                  <c:v>Measurement methods</c:v>
                </c:pt>
                <c:pt idx="10">
                  <c:v>Measurements</c:v>
                </c:pt>
              </c:strCache>
            </c:strRef>
          </c:cat>
          <c:val>
            <c:numRef>
              <c:f>'Analyzed data'!$F$46:$P$46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12-4DAC-94E8-884D70A73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95193688"/>
        <c:axId val="595195328"/>
      </c:barChart>
      <c:catAx>
        <c:axId val="595193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de-DE"/>
          </a:p>
        </c:txPr>
        <c:crossAx val="595195328"/>
        <c:crossesAt val="-10"/>
        <c:auto val="1"/>
        <c:lblAlgn val="ctr"/>
        <c:lblOffset val="100"/>
        <c:noMultiLvlLbl val="0"/>
      </c:catAx>
      <c:valAx>
        <c:axId val="595195328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de-DE" sz="1050">
                    <a:solidFill>
                      <a:sysClr val="windowText" lastClr="000000"/>
                    </a:solidFill>
                    <a:latin typeface="Book Antiqua" panose="02040602050305030304" pitchFamily="18" charset="0"/>
                  </a:rPr>
                  <a:t>Percentage of </a:t>
                </a:r>
                <a:r>
                  <a:rPr lang="de-DE" sz="1050" baseline="0">
                    <a:solidFill>
                      <a:sysClr val="windowText" lastClr="000000"/>
                    </a:solidFill>
                    <a:latin typeface="Book Antiqua" panose="02040602050305030304" pitchFamily="18" charset="0"/>
                  </a:rPr>
                  <a:t> respondents</a:t>
                </a:r>
                <a:r>
                  <a:rPr lang="de-DE" sz="1050">
                    <a:solidFill>
                      <a:sysClr val="windowText" lastClr="000000"/>
                    </a:solidFill>
                    <a:latin typeface="Book Antiqua" panose="02040602050305030304" pitchFamily="18" charset="0"/>
                  </a:rPr>
                  <a:t> that...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de-D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de-DE"/>
          </a:p>
        </c:txPr>
        <c:crossAx val="59519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'Analyzed data'!$E$43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'Analyzed data'!$Q$40:$AA$40</c:f>
              <c:strCache>
                <c:ptCount val="11"/>
                <c:pt idx="0">
                  <c:v>Statement: Material</c:v>
                </c:pt>
                <c:pt idx="1">
                  <c:v>Statement: Process chain</c:v>
                </c:pt>
                <c:pt idx="2">
                  <c:v>Statement: Process step</c:v>
                </c:pt>
                <c:pt idx="3">
                  <c:v>Statement: Input</c:v>
                </c:pt>
                <c:pt idx="4">
                  <c:v>Statement: Output</c:v>
                </c:pt>
                <c:pt idx="5">
                  <c:v>Statement: Manufacturing method</c:v>
                </c:pt>
                <c:pt idx="6">
                  <c:v>Statement: Manufactured component</c:v>
                </c:pt>
                <c:pt idx="7">
                  <c:v>Statement: Layer</c:v>
                </c:pt>
                <c:pt idx="8">
                  <c:v>Statement: Quality</c:v>
                </c:pt>
                <c:pt idx="9">
                  <c:v>Statement: Measurement method</c:v>
                </c:pt>
                <c:pt idx="10">
                  <c:v>Statment: Measurement</c:v>
                </c:pt>
              </c:strCache>
            </c:strRef>
          </c:cat>
          <c:val>
            <c:numRef>
              <c:f>'Analyzed data'!$Q$43:$AA$43</c:f>
              <c:numCache>
                <c:formatCode>General</c:formatCode>
                <c:ptCount val="11"/>
                <c:pt idx="0">
                  <c:v>2</c:v>
                </c:pt>
                <c:pt idx="1">
                  <c:v>1.5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0.5</c:v>
                </c:pt>
                <c:pt idx="6">
                  <c:v>4.5</c:v>
                </c:pt>
                <c:pt idx="7">
                  <c:v>4.5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5-448D-8CA4-B511DD2BB4BB}"/>
            </c:ext>
          </c:extLst>
        </c:ser>
        <c:ser>
          <c:idx val="1"/>
          <c:order val="1"/>
          <c:tx>
            <c:strRef>
              <c:f>'Analyzed data'!$E$42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'Analyzed data'!$Q$40:$AA$40</c:f>
              <c:strCache>
                <c:ptCount val="11"/>
                <c:pt idx="0">
                  <c:v>Statement: Material</c:v>
                </c:pt>
                <c:pt idx="1">
                  <c:v>Statement: Process chain</c:v>
                </c:pt>
                <c:pt idx="2">
                  <c:v>Statement: Process step</c:v>
                </c:pt>
                <c:pt idx="3">
                  <c:v>Statement: Input</c:v>
                </c:pt>
                <c:pt idx="4">
                  <c:v>Statement: Output</c:v>
                </c:pt>
                <c:pt idx="5">
                  <c:v>Statement: Manufacturing method</c:v>
                </c:pt>
                <c:pt idx="6">
                  <c:v>Statement: Manufactured component</c:v>
                </c:pt>
                <c:pt idx="7">
                  <c:v>Statement: Layer</c:v>
                </c:pt>
                <c:pt idx="8">
                  <c:v>Statement: Quality</c:v>
                </c:pt>
                <c:pt idx="9">
                  <c:v>Statement: Measurement method</c:v>
                </c:pt>
                <c:pt idx="10">
                  <c:v>Statment: Measurement</c:v>
                </c:pt>
              </c:strCache>
            </c:strRef>
          </c:cat>
          <c:val>
            <c:numRef>
              <c:f>'Analyzed data'!$Q$42:$AA$42</c:f>
              <c:numCache>
                <c:formatCode>General</c:formatCode>
                <c:ptCount val="11"/>
                <c:pt idx="0">
                  <c:v>5</c:v>
                </c:pt>
                <c:pt idx="1">
                  <c:v>5</c:v>
                </c:pt>
                <c:pt idx="2">
                  <c:v>9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4</c:v>
                </c:pt>
                <c:pt idx="7">
                  <c:v>4</c:v>
                </c:pt>
                <c:pt idx="8">
                  <c:v>10</c:v>
                </c:pt>
                <c:pt idx="9">
                  <c:v>8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D5-448D-8CA4-B511DD2BB4BB}"/>
            </c:ext>
          </c:extLst>
        </c:ser>
        <c:ser>
          <c:idx val="2"/>
          <c:order val="2"/>
          <c:tx>
            <c:strRef>
              <c:f>'Analyzed data'!$E$41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'Analyzed data'!$Q$40:$AA$40</c:f>
              <c:strCache>
                <c:ptCount val="11"/>
                <c:pt idx="0">
                  <c:v>Statement: Material</c:v>
                </c:pt>
                <c:pt idx="1">
                  <c:v>Statement: Process chain</c:v>
                </c:pt>
                <c:pt idx="2">
                  <c:v>Statement: Process step</c:v>
                </c:pt>
                <c:pt idx="3">
                  <c:v>Statement: Input</c:v>
                </c:pt>
                <c:pt idx="4">
                  <c:v>Statement: Output</c:v>
                </c:pt>
                <c:pt idx="5">
                  <c:v>Statement: Manufacturing method</c:v>
                </c:pt>
                <c:pt idx="6">
                  <c:v>Statement: Manufactured component</c:v>
                </c:pt>
                <c:pt idx="7">
                  <c:v>Statement: Layer</c:v>
                </c:pt>
                <c:pt idx="8">
                  <c:v>Statement: Quality</c:v>
                </c:pt>
                <c:pt idx="9">
                  <c:v>Statement: Measurement method</c:v>
                </c:pt>
                <c:pt idx="10">
                  <c:v>Statment: Measurement</c:v>
                </c:pt>
              </c:strCache>
            </c:strRef>
          </c:cat>
          <c:val>
            <c:numRef>
              <c:f>'Analyzed data'!$Q$41:$AA$41</c:f>
              <c:numCache>
                <c:formatCode>General</c:formatCode>
                <c:ptCount val="11"/>
                <c:pt idx="0">
                  <c:v>11</c:v>
                </c:pt>
                <c:pt idx="1">
                  <c:v>11</c:v>
                </c:pt>
                <c:pt idx="2">
                  <c:v>10</c:v>
                </c:pt>
                <c:pt idx="3">
                  <c:v>8</c:v>
                </c:pt>
                <c:pt idx="4">
                  <c:v>6</c:v>
                </c:pt>
                <c:pt idx="5">
                  <c:v>10</c:v>
                </c:pt>
                <c:pt idx="6">
                  <c:v>6</c:v>
                </c:pt>
                <c:pt idx="7">
                  <c:v>8</c:v>
                </c:pt>
                <c:pt idx="8">
                  <c:v>11</c:v>
                </c:pt>
                <c:pt idx="9">
                  <c:v>7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D5-448D-8CA4-B511DD2BB4BB}"/>
            </c:ext>
          </c:extLst>
        </c:ser>
        <c:ser>
          <c:idx val="3"/>
          <c:order val="3"/>
          <c:tx>
            <c:strRef>
              <c:f>'Analyzed data'!$E$44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'Analyzed data'!$Q$40:$AA$40</c:f>
              <c:strCache>
                <c:ptCount val="11"/>
                <c:pt idx="0">
                  <c:v>Statement: Material</c:v>
                </c:pt>
                <c:pt idx="1">
                  <c:v>Statement: Process chain</c:v>
                </c:pt>
                <c:pt idx="2">
                  <c:v>Statement: Process step</c:v>
                </c:pt>
                <c:pt idx="3">
                  <c:v>Statement: Input</c:v>
                </c:pt>
                <c:pt idx="4">
                  <c:v>Statement: Output</c:v>
                </c:pt>
                <c:pt idx="5">
                  <c:v>Statement: Manufacturing method</c:v>
                </c:pt>
                <c:pt idx="6">
                  <c:v>Statement: Manufactured component</c:v>
                </c:pt>
                <c:pt idx="7">
                  <c:v>Statement: Layer</c:v>
                </c:pt>
                <c:pt idx="8">
                  <c:v>Statement: Quality</c:v>
                </c:pt>
                <c:pt idx="9">
                  <c:v>Statement: Measurement method</c:v>
                </c:pt>
                <c:pt idx="10">
                  <c:v>Statment: Measurement</c:v>
                </c:pt>
              </c:strCache>
            </c:strRef>
          </c:cat>
          <c:val>
            <c:numRef>
              <c:f>'Analyzed data'!$Q$44:$AA$44</c:f>
              <c:numCache>
                <c:formatCode>General</c:formatCode>
                <c:ptCount val="11"/>
                <c:pt idx="0">
                  <c:v>-2</c:v>
                </c:pt>
                <c:pt idx="1">
                  <c:v>-1.5</c:v>
                </c:pt>
                <c:pt idx="2">
                  <c:v>-1</c:v>
                </c:pt>
                <c:pt idx="3">
                  <c:v>-2</c:v>
                </c:pt>
                <c:pt idx="4">
                  <c:v>-2</c:v>
                </c:pt>
                <c:pt idx="5">
                  <c:v>-0.5</c:v>
                </c:pt>
                <c:pt idx="6">
                  <c:v>-4.5</c:v>
                </c:pt>
                <c:pt idx="7">
                  <c:v>-4.5</c:v>
                </c:pt>
                <c:pt idx="8">
                  <c:v>0</c:v>
                </c:pt>
                <c:pt idx="9">
                  <c:v>-2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D5-448D-8CA4-B511DD2BB4BB}"/>
            </c:ext>
          </c:extLst>
        </c:ser>
        <c:ser>
          <c:idx val="4"/>
          <c:order val="4"/>
          <c:tx>
            <c:strRef>
              <c:f>'Analyzed data'!$E$45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'Analyzed data'!$Q$40:$AA$40</c:f>
              <c:strCache>
                <c:ptCount val="11"/>
                <c:pt idx="0">
                  <c:v>Statement: Material</c:v>
                </c:pt>
                <c:pt idx="1">
                  <c:v>Statement: Process chain</c:v>
                </c:pt>
                <c:pt idx="2">
                  <c:v>Statement: Process step</c:v>
                </c:pt>
                <c:pt idx="3">
                  <c:v>Statement: Input</c:v>
                </c:pt>
                <c:pt idx="4">
                  <c:v>Statement: Output</c:v>
                </c:pt>
                <c:pt idx="5">
                  <c:v>Statement: Manufacturing method</c:v>
                </c:pt>
                <c:pt idx="6">
                  <c:v>Statement: Manufactured component</c:v>
                </c:pt>
                <c:pt idx="7">
                  <c:v>Statement: Layer</c:v>
                </c:pt>
                <c:pt idx="8">
                  <c:v>Statement: Quality</c:v>
                </c:pt>
                <c:pt idx="9">
                  <c:v>Statement: Measurement method</c:v>
                </c:pt>
                <c:pt idx="10">
                  <c:v>Statment: Measurement</c:v>
                </c:pt>
              </c:strCache>
            </c:strRef>
          </c:cat>
          <c:val>
            <c:numRef>
              <c:f>'Analyzed data'!$Q$45:$AA$45</c:f>
              <c:numCache>
                <c:formatCode>General</c:formatCode>
                <c:ptCount val="11"/>
                <c:pt idx="0">
                  <c:v>-1</c:v>
                </c:pt>
                <c:pt idx="1">
                  <c:v>-2</c:v>
                </c:pt>
                <c:pt idx="2">
                  <c:v>0</c:v>
                </c:pt>
                <c:pt idx="3">
                  <c:v>-2</c:v>
                </c:pt>
                <c:pt idx="4">
                  <c:v>-3</c:v>
                </c:pt>
                <c:pt idx="5">
                  <c:v>0</c:v>
                </c:pt>
                <c:pt idx="6">
                  <c:v>-2</c:v>
                </c:pt>
                <c:pt idx="7">
                  <c:v>0</c:v>
                </c:pt>
                <c:pt idx="8">
                  <c:v>0</c:v>
                </c:pt>
                <c:pt idx="9">
                  <c:v>-2</c:v>
                </c:pt>
                <c:pt idx="10">
                  <c:v>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D5-448D-8CA4-B511DD2BB4BB}"/>
            </c:ext>
          </c:extLst>
        </c:ser>
        <c:ser>
          <c:idx val="5"/>
          <c:order val="5"/>
          <c:tx>
            <c:strRef>
              <c:f>'Analyzed data'!$E$46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'Analyzed data'!$Q$40:$AA$40</c:f>
              <c:strCache>
                <c:ptCount val="11"/>
                <c:pt idx="0">
                  <c:v>Statement: Material</c:v>
                </c:pt>
                <c:pt idx="1">
                  <c:v>Statement: Process chain</c:v>
                </c:pt>
                <c:pt idx="2">
                  <c:v>Statement: Process step</c:v>
                </c:pt>
                <c:pt idx="3">
                  <c:v>Statement: Input</c:v>
                </c:pt>
                <c:pt idx="4">
                  <c:v>Statement: Output</c:v>
                </c:pt>
                <c:pt idx="5">
                  <c:v>Statement: Manufacturing method</c:v>
                </c:pt>
                <c:pt idx="6">
                  <c:v>Statement: Manufactured component</c:v>
                </c:pt>
                <c:pt idx="7">
                  <c:v>Statement: Layer</c:v>
                </c:pt>
                <c:pt idx="8">
                  <c:v>Statement: Quality</c:v>
                </c:pt>
                <c:pt idx="9">
                  <c:v>Statement: Measurement method</c:v>
                </c:pt>
                <c:pt idx="10">
                  <c:v>Statment: Measurement</c:v>
                </c:pt>
              </c:strCache>
            </c:strRef>
          </c:cat>
          <c:val>
            <c:numRef>
              <c:f>'Analyzed data'!$Q$46:$AA$46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D5-448D-8CA4-B511DD2BB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95193688"/>
        <c:axId val="595195328"/>
      </c:barChart>
      <c:catAx>
        <c:axId val="595193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de-DE"/>
          </a:p>
        </c:txPr>
        <c:crossAx val="595195328"/>
        <c:crossesAt val="-10"/>
        <c:auto val="1"/>
        <c:lblAlgn val="ctr"/>
        <c:lblOffset val="100"/>
        <c:noMultiLvlLbl val="0"/>
      </c:catAx>
      <c:valAx>
        <c:axId val="595195328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de-DE" sz="1050">
                    <a:solidFill>
                      <a:sysClr val="windowText" lastClr="000000"/>
                    </a:solidFill>
                    <a:latin typeface="Book Antiqua" panose="02040602050305030304" pitchFamily="18" charset="0"/>
                  </a:rPr>
                  <a:t>Percentage of </a:t>
                </a:r>
                <a:r>
                  <a:rPr lang="de-DE" sz="1050" baseline="0">
                    <a:solidFill>
                      <a:sysClr val="windowText" lastClr="000000"/>
                    </a:solidFill>
                    <a:latin typeface="Book Antiqua" panose="02040602050305030304" pitchFamily="18" charset="0"/>
                  </a:rPr>
                  <a:t> respondents</a:t>
                </a:r>
                <a:r>
                  <a:rPr lang="de-DE" sz="1050">
                    <a:solidFill>
                      <a:sysClr val="windowText" lastClr="000000"/>
                    </a:solidFill>
                    <a:latin typeface="Book Antiqua" panose="02040602050305030304" pitchFamily="18" charset="0"/>
                  </a:rPr>
                  <a:t> that...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de-D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de-DE"/>
          </a:p>
        </c:txPr>
        <c:crossAx val="59519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de-DE" sz="1400" b="0" i="0" baseline="0">
                <a:solidFill>
                  <a:sysClr val="windowText" lastClr="000000"/>
                </a:solidFill>
                <a:effectLst/>
                <a:latin typeface="Book Antiqua" panose="02040602050305030304" pitchFamily="18" charset="0"/>
              </a:rPr>
              <a:t>The [...] is relevant for Tailored Forming Process Chains </a:t>
            </a:r>
            <a:r>
              <a:rPr lang="de-DE" sz="1400" b="0" i="0" u="none" strike="noStrike" baseline="0">
                <a:solidFill>
                  <a:sysClr val="windowText" lastClr="000000"/>
                </a:solidFill>
                <a:effectLst/>
              </a:rPr>
              <a:t>in engineering sciences</a:t>
            </a:r>
            <a:r>
              <a:rPr lang="de-DE" sz="1400" b="0" i="0" baseline="0">
                <a:solidFill>
                  <a:sysClr val="windowText" lastClr="000000"/>
                </a:solidFill>
                <a:effectLst/>
                <a:latin typeface="Book Antiqua" panose="02040602050305030304" pitchFamily="18" charset="0"/>
              </a:rPr>
              <a:t>.</a:t>
            </a:r>
            <a:endParaRPr lang="de-DE" sz="1400">
              <a:solidFill>
                <a:sysClr val="windowText" lastClr="000000"/>
              </a:solidFill>
              <a:effectLst/>
              <a:latin typeface="Book Antiqua" panose="0204060205030503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'Analyzed data'!$E$43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'Analyzed data'!$AB$40:$AQ$40</c:f>
              <c:strCache>
                <c:ptCount val="16"/>
                <c:pt idx="0">
                  <c:v>Competency question 1</c:v>
                </c:pt>
                <c:pt idx="1">
                  <c:v>Answer with visualization 1</c:v>
                </c:pt>
                <c:pt idx="2">
                  <c:v>Competency question 2</c:v>
                </c:pt>
                <c:pt idx="3">
                  <c:v>Answer with visualization 2</c:v>
                </c:pt>
                <c:pt idx="4">
                  <c:v>Competency question 3</c:v>
                </c:pt>
                <c:pt idx="5">
                  <c:v>Answer with visualization 3</c:v>
                </c:pt>
                <c:pt idx="6">
                  <c:v>Competency question 4</c:v>
                </c:pt>
                <c:pt idx="7">
                  <c:v>Answer with visualization 4</c:v>
                </c:pt>
                <c:pt idx="8">
                  <c:v>Competency question 5</c:v>
                </c:pt>
                <c:pt idx="9">
                  <c:v>Answer with visualization 5</c:v>
                </c:pt>
                <c:pt idx="10">
                  <c:v>Competency question 6</c:v>
                </c:pt>
                <c:pt idx="11">
                  <c:v>Answer with visualization 6</c:v>
                </c:pt>
                <c:pt idx="12">
                  <c:v>Competency question 7</c:v>
                </c:pt>
                <c:pt idx="13">
                  <c:v>Answer with visualization 7</c:v>
                </c:pt>
                <c:pt idx="14">
                  <c:v>Competency question 8</c:v>
                </c:pt>
                <c:pt idx="15">
                  <c:v>Answer with visualization 8</c:v>
                </c:pt>
              </c:strCache>
            </c:strRef>
          </c:cat>
          <c:val>
            <c:numRef>
              <c:f>'Analyzed data'!$AB$43:$AQ$43</c:f>
              <c:numCache>
                <c:formatCode>General</c:formatCode>
                <c:ptCount val="16"/>
                <c:pt idx="0">
                  <c:v>1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</c:v>
                </c:pt>
                <c:pt idx="6">
                  <c:v>0.5</c:v>
                </c:pt>
                <c:pt idx="7">
                  <c:v>0</c:v>
                </c:pt>
                <c:pt idx="8">
                  <c:v>0.5</c:v>
                </c:pt>
                <c:pt idx="9">
                  <c:v>1.5</c:v>
                </c:pt>
                <c:pt idx="10">
                  <c:v>0</c:v>
                </c:pt>
                <c:pt idx="11">
                  <c:v>0</c:v>
                </c:pt>
                <c:pt idx="12">
                  <c:v>1.5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7-4D1A-A1AB-D769B7C9803B}"/>
            </c:ext>
          </c:extLst>
        </c:ser>
        <c:ser>
          <c:idx val="1"/>
          <c:order val="1"/>
          <c:tx>
            <c:strRef>
              <c:f>'Analyzed data'!$E$42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'Analyzed data'!$AB$40:$AQ$40</c:f>
              <c:strCache>
                <c:ptCount val="16"/>
                <c:pt idx="0">
                  <c:v>Competency question 1</c:v>
                </c:pt>
                <c:pt idx="1">
                  <c:v>Answer with visualization 1</c:v>
                </c:pt>
                <c:pt idx="2">
                  <c:v>Competency question 2</c:v>
                </c:pt>
                <c:pt idx="3">
                  <c:v>Answer with visualization 2</c:v>
                </c:pt>
                <c:pt idx="4">
                  <c:v>Competency question 3</c:v>
                </c:pt>
                <c:pt idx="5">
                  <c:v>Answer with visualization 3</c:v>
                </c:pt>
                <c:pt idx="6">
                  <c:v>Competency question 4</c:v>
                </c:pt>
                <c:pt idx="7">
                  <c:v>Answer with visualization 4</c:v>
                </c:pt>
                <c:pt idx="8">
                  <c:v>Competency question 5</c:v>
                </c:pt>
                <c:pt idx="9">
                  <c:v>Answer with visualization 5</c:v>
                </c:pt>
                <c:pt idx="10">
                  <c:v>Competency question 6</c:v>
                </c:pt>
                <c:pt idx="11">
                  <c:v>Answer with visualization 6</c:v>
                </c:pt>
                <c:pt idx="12">
                  <c:v>Competency question 7</c:v>
                </c:pt>
                <c:pt idx="13">
                  <c:v>Answer with visualization 7</c:v>
                </c:pt>
                <c:pt idx="14">
                  <c:v>Competency question 8</c:v>
                </c:pt>
                <c:pt idx="15">
                  <c:v>Answer with visualization 8</c:v>
                </c:pt>
              </c:strCache>
            </c:strRef>
          </c:cat>
          <c:val>
            <c:numRef>
              <c:f>'Analyzed data'!$AB$42:$AQ$42</c:f>
              <c:numCache>
                <c:formatCode>General</c:formatCode>
                <c:ptCount val="16"/>
                <c:pt idx="0">
                  <c:v>4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5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37-4D1A-A1AB-D769B7C9803B}"/>
            </c:ext>
          </c:extLst>
        </c:ser>
        <c:ser>
          <c:idx val="2"/>
          <c:order val="2"/>
          <c:tx>
            <c:strRef>
              <c:f>'Analyzed data'!$E$41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'Analyzed data'!$AB$40:$AQ$40</c:f>
              <c:strCache>
                <c:ptCount val="16"/>
                <c:pt idx="0">
                  <c:v>Competency question 1</c:v>
                </c:pt>
                <c:pt idx="1">
                  <c:v>Answer with visualization 1</c:v>
                </c:pt>
                <c:pt idx="2">
                  <c:v>Competency question 2</c:v>
                </c:pt>
                <c:pt idx="3">
                  <c:v>Answer with visualization 2</c:v>
                </c:pt>
                <c:pt idx="4">
                  <c:v>Competency question 3</c:v>
                </c:pt>
                <c:pt idx="5">
                  <c:v>Answer with visualization 3</c:v>
                </c:pt>
                <c:pt idx="6">
                  <c:v>Competency question 4</c:v>
                </c:pt>
                <c:pt idx="7">
                  <c:v>Answer with visualization 4</c:v>
                </c:pt>
                <c:pt idx="8">
                  <c:v>Competency question 5</c:v>
                </c:pt>
                <c:pt idx="9">
                  <c:v>Answer with visualization 5</c:v>
                </c:pt>
                <c:pt idx="10">
                  <c:v>Competency question 6</c:v>
                </c:pt>
                <c:pt idx="11">
                  <c:v>Answer with visualization 6</c:v>
                </c:pt>
                <c:pt idx="12">
                  <c:v>Competency question 7</c:v>
                </c:pt>
                <c:pt idx="13">
                  <c:v>Answer with visualization 7</c:v>
                </c:pt>
                <c:pt idx="14">
                  <c:v>Competency question 8</c:v>
                </c:pt>
                <c:pt idx="15">
                  <c:v>Answer with visualization 8</c:v>
                </c:pt>
              </c:strCache>
            </c:strRef>
          </c:cat>
          <c:val>
            <c:numRef>
              <c:f>'Analyzed data'!$AB$41:$AQ$41</c:f>
              <c:numCache>
                <c:formatCode>General</c:formatCode>
                <c:ptCount val="16"/>
                <c:pt idx="0">
                  <c:v>3</c:v>
                </c:pt>
                <c:pt idx="1">
                  <c:v>4</c:v>
                </c:pt>
                <c:pt idx="2">
                  <c:v>7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4</c:v>
                </c:pt>
                <c:pt idx="8">
                  <c:v>6</c:v>
                </c:pt>
                <c:pt idx="9">
                  <c:v>3</c:v>
                </c:pt>
                <c:pt idx="10">
                  <c:v>8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37-4D1A-A1AB-D769B7C9803B}"/>
            </c:ext>
          </c:extLst>
        </c:ser>
        <c:ser>
          <c:idx val="3"/>
          <c:order val="3"/>
          <c:tx>
            <c:strRef>
              <c:f>'Analyzed data'!$E$44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'Analyzed data'!$AB$40:$AQ$40</c:f>
              <c:strCache>
                <c:ptCount val="16"/>
                <c:pt idx="0">
                  <c:v>Competency question 1</c:v>
                </c:pt>
                <c:pt idx="1">
                  <c:v>Answer with visualization 1</c:v>
                </c:pt>
                <c:pt idx="2">
                  <c:v>Competency question 2</c:v>
                </c:pt>
                <c:pt idx="3">
                  <c:v>Answer with visualization 2</c:v>
                </c:pt>
                <c:pt idx="4">
                  <c:v>Competency question 3</c:v>
                </c:pt>
                <c:pt idx="5">
                  <c:v>Answer with visualization 3</c:v>
                </c:pt>
                <c:pt idx="6">
                  <c:v>Competency question 4</c:v>
                </c:pt>
                <c:pt idx="7">
                  <c:v>Answer with visualization 4</c:v>
                </c:pt>
                <c:pt idx="8">
                  <c:v>Competency question 5</c:v>
                </c:pt>
                <c:pt idx="9">
                  <c:v>Answer with visualization 5</c:v>
                </c:pt>
                <c:pt idx="10">
                  <c:v>Competency question 6</c:v>
                </c:pt>
                <c:pt idx="11">
                  <c:v>Answer with visualization 6</c:v>
                </c:pt>
                <c:pt idx="12">
                  <c:v>Competency question 7</c:v>
                </c:pt>
                <c:pt idx="13">
                  <c:v>Answer with visualization 7</c:v>
                </c:pt>
                <c:pt idx="14">
                  <c:v>Competency question 8</c:v>
                </c:pt>
                <c:pt idx="15">
                  <c:v>Answer with visualization 8</c:v>
                </c:pt>
              </c:strCache>
            </c:strRef>
          </c:cat>
          <c:val>
            <c:numRef>
              <c:f>'Analyzed data'!$AB$44:$AQ$44</c:f>
              <c:numCache>
                <c:formatCode>General</c:formatCode>
                <c:ptCount val="16"/>
                <c:pt idx="0">
                  <c:v>-1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0</c:v>
                </c:pt>
                <c:pt idx="6">
                  <c:v>-0.5</c:v>
                </c:pt>
                <c:pt idx="7">
                  <c:v>0</c:v>
                </c:pt>
                <c:pt idx="8">
                  <c:v>-0.5</c:v>
                </c:pt>
                <c:pt idx="9">
                  <c:v>-1.5</c:v>
                </c:pt>
                <c:pt idx="10">
                  <c:v>0</c:v>
                </c:pt>
                <c:pt idx="11">
                  <c:v>0</c:v>
                </c:pt>
                <c:pt idx="12">
                  <c:v>-1.5</c:v>
                </c:pt>
                <c:pt idx="13">
                  <c:v>0</c:v>
                </c:pt>
                <c:pt idx="14">
                  <c:v>-1</c:v>
                </c:pt>
                <c:pt idx="15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37-4D1A-A1AB-D769B7C9803B}"/>
            </c:ext>
          </c:extLst>
        </c:ser>
        <c:ser>
          <c:idx val="4"/>
          <c:order val="4"/>
          <c:tx>
            <c:strRef>
              <c:f>'Analyzed data'!$E$45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'Analyzed data'!$AB$40:$AQ$40</c:f>
              <c:strCache>
                <c:ptCount val="16"/>
                <c:pt idx="0">
                  <c:v>Competency question 1</c:v>
                </c:pt>
                <c:pt idx="1">
                  <c:v>Answer with visualization 1</c:v>
                </c:pt>
                <c:pt idx="2">
                  <c:v>Competency question 2</c:v>
                </c:pt>
                <c:pt idx="3">
                  <c:v>Answer with visualization 2</c:v>
                </c:pt>
                <c:pt idx="4">
                  <c:v>Competency question 3</c:v>
                </c:pt>
                <c:pt idx="5">
                  <c:v>Answer with visualization 3</c:v>
                </c:pt>
                <c:pt idx="6">
                  <c:v>Competency question 4</c:v>
                </c:pt>
                <c:pt idx="7">
                  <c:v>Answer with visualization 4</c:v>
                </c:pt>
                <c:pt idx="8">
                  <c:v>Competency question 5</c:v>
                </c:pt>
                <c:pt idx="9">
                  <c:v>Answer with visualization 5</c:v>
                </c:pt>
                <c:pt idx="10">
                  <c:v>Competency question 6</c:v>
                </c:pt>
                <c:pt idx="11">
                  <c:v>Answer with visualization 6</c:v>
                </c:pt>
                <c:pt idx="12">
                  <c:v>Competency question 7</c:v>
                </c:pt>
                <c:pt idx="13">
                  <c:v>Answer with visualization 7</c:v>
                </c:pt>
                <c:pt idx="14">
                  <c:v>Competency question 8</c:v>
                </c:pt>
                <c:pt idx="15">
                  <c:v>Answer with visualization 8</c:v>
                </c:pt>
              </c:strCache>
            </c:strRef>
          </c:cat>
          <c:val>
            <c:numRef>
              <c:f>'Analyzed data'!$AB$45:$AQ$45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</c:v>
                </c:pt>
                <c:pt idx="13">
                  <c:v>-1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37-4D1A-A1AB-D769B7C9803B}"/>
            </c:ext>
          </c:extLst>
        </c:ser>
        <c:ser>
          <c:idx val="5"/>
          <c:order val="5"/>
          <c:tx>
            <c:strRef>
              <c:f>'Analyzed data'!$E$46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'Analyzed data'!$AB$40:$AQ$40</c:f>
              <c:strCache>
                <c:ptCount val="16"/>
                <c:pt idx="0">
                  <c:v>Competency question 1</c:v>
                </c:pt>
                <c:pt idx="1">
                  <c:v>Answer with visualization 1</c:v>
                </c:pt>
                <c:pt idx="2">
                  <c:v>Competency question 2</c:v>
                </c:pt>
                <c:pt idx="3">
                  <c:v>Answer with visualization 2</c:v>
                </c:pt>
                <c:pt idx="4">
                  <c:v>Competency question 3</c:v>
                </c:pt>
                <c:pt idx="5">
                  <c:v>Answer with visualization 3</c:v>
                </c:pt>
                <c:pt idx="6">
                  <c:v>Competency question 4</c:v>
                </c:pt>
                <c:pt idx="7">
                  <c:v>Answer with visualization 4</c:v>
                </c:pt>
                <c:pt idx="8">
                  <c:v>Competency question 5</c:v>
                </c:pt>
                <c:pt idx="9">
                  <c:v>Answer with visualization 5</c:v>
                </c:pt>
                <c:pt idx="10">
                  <c:v>Competency question 6</c:v>
                </c:pt>
                <c:pt idx="11">
                  <c:v>Answer with visualization 6</c:v>
                </c:pt>
                <c:pt idx="12">
                  <c:v>Competency question 7</c:v>
                </c:pt>
                <c:pt idx="13">
                  <c:v>Answer with visualization 7</c:v>
                </c:pt>
                <c:pt idx="14">
                  <c:v>Competency question 8</c:v>
                </c:pt>
                <c:pt idx="15">
                  <c:v>Answer with visualization 8</c:v>
                </c:pt>
              </c:strCache>
            </c:strRef>
          </c:cat>
          <c:val>
            <c:numRef>
              <c:f>'Analyzed data'!$AB$46:$AQ$46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37-4D1A-A1AB-D769B7C98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95193688"/>
        <c:axId val="595195328"/>
      </c:barChart>
      <c:catAx>
        <c:axId val="595193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de-DE"/>
          </a:p>
        </c:txPr>
        <c:crossAx val="595195328"/>
        <c:crossesAt val="-10"/>
        <c:auto val="1"/>
        <c:lblAlgn val="ctr"/>
        <c:lblOffset val="100"/>
        <c:noMultiLvlLbl val="0"/>
      </c:catAx>
      <c:valAx>
        <c:axId val="595195328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de-DE" sz="1050">
                    <a:solidFill>
                      <a:sysClr val="windowText" lastClr="000000"/>
                    </a:solidFill>
                    <a:latin typeface="Book Antiqua" panose="02040602050305030304" pitchFamily="18" charset="0"/>
                  </a:rPr>
                  <a:t>Percentage of </a:t>
                </a:r>
                <a:r>
                  <a:rPr lang="de-DE" sz="1050" baseline="0">
                    <a:solidFill>
                      <a:sysClr val="windowText" lastClr="000000"/>
                    </a:solidFill>
                    <a:latin typeface="Book Antiqua" panose="02040602050305030304" pitchFamily="18" charset="0"/>
                  </a:rPr>
                  <a:t> respondents</a:t>
                </a:r>
                <a:r>
                  <a:rPr lang="de-DE" sz="1050">
                    <a:solidFill>
                      <a:sysClr val="windowText" lastClr="000000"/>
                    </a:solidFill>
                    <a:latin typeface="Book Antiqua" panose="02040602050305030304" pitchFamily="18" charset="0"/>
                  </a:rPr>
                  <a:t> that...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de-D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de-DE"/>
          </a:p>
        </c:txPr>
        <c:crossAx val="59519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47</xdr:row>
      <xdr:rowOff>0</xdr:rowOff>
    </xdr:from>
    <xdr:to>
      <xdr:col>14</xdr:col>
      <xdr:colOff>65424</xdr:colOff>
      <xdr:row>67</xdr:row>
      <xdr:rowOff>122727</xdr:rowOff>
    </xdr:to>
    <xdr:graphicFrame macro="">
      <xdr:nvGraphicFramePr>
        <xdr:cNvPr id="4" name="Diagramm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47</xdr:row>
      <xdr:rowOff>0</xdr:rowOff>
    </xdr:from>
    <xdr:to>
      <xdr:col>18</xdr:col>
      <xdr:colOff>3251970</xdr:colOff>
      <xdr:row>67</xdr:row>
      <xdr:rowOff>122727</xdr:rowOff>
    </xdr:to>
    <xdr:graphicFrame macro="">
      <xdr:nvGraphicFramePr>
        <xdr:cNvPr id="6" name="Diagramm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47</xdr:row>
      <xdr:rowOff>0</xdr:rowOff>
    </xdr:from>
    <xdr:to>
      <xdr:col>30</xdr:col>
      <xdr:colOff>1624060</xdr:colOff>
      <xdr:row>77</xdr:row>
      <xdr:rowOff>4091</xdr:rowOff>
    </xdr:to>
    <xdr:graphicFrame macro="">
      <xdr:nvGraphicFramePr>
        <xdr:cNvPr id="9" name="Diagramm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3"/>
  <sheetViews>
    <sheetView zoomScaleNormal="100" workbookViewId="0">
      <selection sqref="A1:A2"/>
    </sheetView>
  </sheetViews>
  <sheetFormatPr baseColWidth="10" defaultRowHeight="12.75" x14ac:dyDescent="0.2"/>
  <cols>
    <col min="1" max="1" width="18.7109375" bestFit="1" customWidth="1"/>
    <col min="2" max="2" width="10.5703125" bestFit="1" customWidth="1"/>
    <col min="3" max="3" width="48.85546875" bestFit="1" customWidth="1"/>
    <col min="4" max="4" width="38.7109375" bestFit="1" customWidth="1"/>
    <col min="5" max="5" width="37.7109375" bestFit="1" customWidth="1"/>
    <col min="6" max="6" width="9.28515625" bestFit="1" customWidth="1"/>
    <col min="7" max="7" width="14.5703125" bestFit="1" customWidth="1"/>
    <col min="8" max="8" width="13.85546875" bestFit="1" customWidth="1"/>
    <col min="9" max="9" width="6.42578125" bestFit="1" customWidth="1"/>
    <col min="10" max="10" width="8.140625" bestFit="1" customWidth="1"/>
    <col min="11" max="11" width="21.7109375" bestFit="1" customWidth="1"/>
    <col min="12" max="12" width="24.85546875" bestFit="1" customWidth="1"/>
    <col min="13" max="13" width="6.85546875" bestFit="1" customWidth="1"/>
    <col min="14" max="14" width="8.7109375" bestFit="1" customWidth="1"/>
    <col min="15" max="15" width="21.42578125" bestFit="1" customWidth="1"/>
    <col min="16" max="16" width="14.28515625" bestFit="1" customWidth="1"/>
    <col min="17" max="17" width="26.28515625" customWidth="1"/>
    <col min="18" max="18" width="40.5703125" customWidth="1"/>
    <col min="19" max="19" width="67.5703125" customWidth="1"/>
    <col min="20" max="20" width="35.7109375" customWidth="1"/>
    <col min="21" max="21" width="26" customWidth="1"/>
    <col min="22" max="22" width="42.7109375" customWidth="1"/>
    <col min="23" max="23" width="29.28515625" customWidth="1"/>
    <col min="24" max="24" width="27.140625" bestFit="1" customWidth="1"/>
    <col min="25" max="25" width="25.42578125" customWidth="1"/>
    <col min="26" max="26" width="51.85546875" customWidth="1"/>
    <col min="27" max="27" width="20.140625" customWidth="1"/>
    <col min="28" max="43" width="30.28515625" customWidth="1"/>
  </cols>
  <sheetData>
    <row r="1" spans="1:43" ht="31.5" customHeight="1" x14ac:dyDescent="0.2">
      <c r="A1" s="136" t="s">
        <v>32</v>
      </c>
      <c r="B1" s="138" t="s">
        <v>24</v>
      </c>
      <c r="C1" s="140" t="s">
        <v>26</v>
      </c>
      <c r="D1" s="142" t="s">
        <v>23</v>
      </c>
      <c r="E1" s="144" t="s">
        <v>0</v>
      </c>
      <c r="F1" s="132" t="s">
        <v>34</v>
      </c>
      <c r="G1" s="130"/>
      <c r="H1" s="133"/>
      <c r="I1" s="133"/>
      <c r="J1" s="133"/>
      <c r="K1" s="133"/>
      <c r="L1" s="133"/>
      <c r="M1" s="133"/>
      <c r="N1" s="133"/>
      <c r="O1" s="133"/>
      <c r="P1" s="135"/>
      <c r="Q1" s="132" t="s">
        <v>52</v>
      </c>
      <c r="R1" s="130"/>
      <c r="S1" s="133"/>
      <c r="T1" s="133"/>
      <c r="U1" s="133"/>
      <c r="V1" s="133"/>
      <c r="W1" s="133"/>
      <c r="X1" s="133"/>
      <c r="Y1" s="133"/>
      <c r="Z1" s="133"/>
      <c r="AA1" s="134"/>
      <c r="AB1" s="129" t="s">
        <v>51</v>
      </c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1"/>
    </row>
    <row r="2" spans="1:43" s="2" customFormat="1" ht="36" customHeight="1" thickBot="1" x14ac:dyDescent="0.25">
      <c r="A2" s="137"/>
      <c r="B2" s="139"/>
      <c r="C2" s="141"/>
      <c r="D2" s="143"/>
      <c r="E2" s="145"/>
      <c r="F2" s="39" t="s">
        <v>11</v>
      </c>
      <c r="G2" s="40" t="s">
        <v>22</v>
      </c>
      <c r="H2" s="40" t="s">
        <v>12</v>
      </c>
      <c r="I2" s="40" t="s">
        <v>13</v>
      </c>
      <c r="J2" s="40" t="s">
        <v>14</v>
      </c>
      <c r="K2" s="40" t="s">
        <v>15</v>
      </c>
      <c r="L2" s="40" t="s">
        <v>16</v>
      </c>
      <c r="M2" s="40" t="s">
        <v>17</v>
      </c>
      <c r="N2" s="40" t="s">
        <v>18</v>
      </c>
      <c r="O2" s="40" t="s">
        <v>19</v>
      </c>
      <c r="P2" s="43" t="s">
        <v>20</v>
      </c>
      <c r="Q2" s="64" t="s">
        <v>63</v>
      </c>
      <c r="R2" s="65" t="s">
        <v>62</v>
      </c>
      <c r="S2" s="65" t="s">
        <v>61</v>
      </c>
      <c r="T2" s="65" t="s">
        <v>60</v>
      </c>
      <c r="U2" s="65" t="s">
        <v>59</v>
      </c>
      <c r="V2" s="65" t="s">
        <v>58</v>
      </c>
      <c r="W2" s="65" t="s">
        <v>57</v>
      </c>
      <c r="X2" s="65" t="s">
        <v>56</v>
      </c>
      <c r="Y2" s="65" t="s">
        <v>55</v>
      </c>
      <c r="Z2" s="65" t="s">
        <v>54</v>
      </c>
      <c r="AA2" s="66" t="s">
        <v>53</v>
      </c>
      <c r="AB2" s="63" t="s">
        <v>35</v>
      </c>
      <c r="AC2" s="40" t="s">
        <v>36</v>
      </c>
      <c r="AD2" s="40" t="s">
        <v>37</v>
      </c>
      <c r="AE2" s="40" t="s">
        <v>38</v>
      </c>
      <c r="AF2" s="40" t="s">
        <v>39</v>
      </c>
      <c r="AG2" s="40" t="s">
        <v>40</v>
      </c>
      <c r="AH2" s="40" t="s">
        <v>41</v>
      </c>
      <c r="AI2" s="40" t="s">
        <v>42</v>
      </c>
      <c r="AJ2" s="40" t="s">
        <v>43</v>
      </c>
      <c r="AK2" s="40" t="s">
        <v>44</v>
      </c>
      <c r="AL2" s="40" t="s">
        <v>45</v>
      </c>
      <c r="AM2" s="40" t="s">
        <v>46</v>
      </c>
      <c r="AN2" s="40" t="s">
        <v>47</v>
      </c>
      <c r="AO2" s="40" t="s">
        <v>48</v>
      </c>
      <c r="AP2" s="40" t="s">
        <v>49</v>
      </c>
      <c r="AQ2" s="41" t="s">
        <v>50</v>
      </c>
    </row>
    <row r="3" spans="1:43" s="1" customFormat="1" x14ac:dyDescent="0.2">
      <c r="A3" s="26">
        <v>45510.53344756944</v>
      </c>
      <c r="B3" s="27" t="s">
        <v>25</v>
      </c>
      <c r="C3" s="28" t="s">
        <v>27</v>
      </c>
      <c r="D3" s="29">
        <v>2</v>
      </c>
      <c r="E3" s="30" t="s">
        <v>33</v>
      </c>
      <c r="F3" s="42">
        <v>5</v>
      </c>
      <c r="G3" s="29">
        <v>5</v>
      </c>
      <c r="H3" s="29">
        <v>5</v>
      </c>
      <c r="I3" s="29">
        <v>3</v>
      </c>
      <c r="J3" s="29">
        <v>3</v>
      </c>
      <c r="K3" s="29">
        <v>3</v>
      </c>
      <c r="L3" s="29">
        <v>3</v>
      </c>
      <c r="M3" s="29">
        <v>4</v>
      </c>
      <c r="N3" s="29">
        <v>5</v>
      </c>
      <c r="O3" s="29">
        <v>5</v>
      </c>
      <c r="P3" s="30">
        <v>4</v>
      </c>
      <c r="Q3" s="38">
        <v>2</v>
      </c>
      <c r="R3" s="23">
        <v>5</v>
      </c>
      <c r="S3" s="23">
        <v>5</v>
      </c>
      <c r="T3" s="23">
        <v>5</v>
      </c>
      <c r="U3" s="23">
        <v>2</v>
      </c>
      <c r="V3" s="23">
        <v>5</v>
      </c>
      <c r="W3" s="23">
        <v>2</v>
      </c>
      <c r="X3" s="23">
        <v>4</v>
      </c>
      <c r="Y3" s="23">
        <v>4</v>
      </c>
      <c r="Z3" s="23">
        <v>3</v>
      </c>
      <c r="AA3" s="45">
        <v>2</v>
      </c>
      <c r="AB3" s="58" t="s">
        <v>31</v>
      </c>
      <c r="AC3" s="59" t="s">
        <v>31</v>
      </c>
      <c r="AD3" s="59" t="s">
        <v>31</v>
      </c>
      <c r="AE3" s="59" t="s">
        <v>31</v>
      </c>
      <c r="AF3" s="59" t="s">
        <v>31</v>
      </c>
      <c r="AG3" s="59" t="s">
        <v>31</v>
      </c>
      <c r="AH3" s="59" t="s">
        <v>31</v>
      </c>
      <c r="AI3" s="59" t="s">
        <v>31</v>
      </c>
      <c r="AJ3" s="59" t="s">
        <v>31</v>
      </c>
      <c r="AK3" s="59" t="s">
        <v>31</v>
      </c>
      <c r="AL3" s="59" t="s">
        <v>31</v>
      </c>
      <c r="AM3" s="59" t="s">
        <v>31</v>
      </c>
      <c r="AN3" s="59" t="s">
        <v>31</v>
      </c>
      <c r="AO3" s="59" t="s">
        <v>31</v>
      </c>
      <c r="AP3" s="59" t="s">
        <v>31</v>
      </c>
      <c r="AQ3" s="60" t="s">
        <v>31</v>
      </c>
    </row>
    <row r="4" spans="1:43" s="1" customFormat="1" ht="25.5" x14ac:dyDescent="0.2">
      <c r="A4" s="8">
        <v>45510.63485425926</v>
      </c>
      <c r="B4" s="9" t="s">
        <v>25</v>
      </c>
      <c r="C4" s="14" t="s">
        <v>28</v>
      </c>
      <c r="D4" s="5">
        <v>8</v>
      </c>
      <c r="E4" s="31" t="s">
        <v>33</v>
      </c>
      <c r="F4" s="35">
        <v>5</v>
      </c>
      <c r="G4" s="5">
        <v>5</v>
      </c>
      <c r="H4" s="5">
        <v>5</v>
      </c>
      <c r="I4" s="5">
        <v>5</v>
      </c>
      <c r="J4" s="5">
        <v>5</v>
      </c>
      <c r="K4" s="5">
        <v>5</v>
      </c>
      <c r="L4" s="5">
        <v>5</v>
      </c>
      <c r="M4" s="5">
        <v>5</v>
      </c>
      <c r="N4" s="5">
        <v>5</v>
      </c>
      <c r="O4" s="5">
        <v>5</v>
      </c>
      <c r="P4" s="31">
        <v>5</v>
      </c>
      <c r="Q4" s="35">
        <v>4</v>
      </c>
      <c r="R4" s="5">
        <v>4</v>
      </c>
      <c r="S4" s="5">
        <v>4</v>
      </c>
      <c r="T4" s="5">
        <v>4</v>
      </c>
      <c r="U4" s="5">
        <v>4</v>
      </c>
      <c r="V4" s="5">
        <v>4</v>
      </c>
      <c r="W4" s="5">
        <v>4</v>
      </c>
      <c r="X4" s="5">
        <v>4</v>
      </c>
      <c r="Y4" s="5">
        <v>4</v>
      </c>
      <c r="Z4" s="5">
        <v>4</v>
      </c>
      <c r="AA4" s="31">
        <v>4</v>
      </c>
      <c r="AB4" s="49" t="s">
        <v>31</v>
      </c>
      <c r="AC4" s="6" t="s">
        <v>31</v>
      </c>
      <c r="AD4" s="6" t="s">
        <v>31</v>
      </c>
      <c r="AE4" s="6" t="s">
        <v>31</v>
      </c>
      <c r="AF4" s="6" t="s">
        <v>31</v>
      </c>
      <c r="AG4" s="6" t="s">
        <v>31</v>
      </c>
      <c r="AH4" s="6" t="s">
        <v>31</v>
      </c>
      <c r="AI4" s="6" t="s">
        <v>31</v>
      </c>
      <c r="AJ4" s="6" t="s">
        <v>31</v>
      </c>
      <c r="AK4" s="6" t="s">
        <v>31</v>
      </c>
      <c r="AL4" s="6" t="s">
        <v>31</v>
      </c>
      <c r="AM4" s="6" t="s">
        <v>31</v>
      </c>
      <c r="AN4" s="6" t="s">
        <v>31</v>
      </c>
      <c r="AO4" s="6" t="s">
        <v>31</v>
      </c>
      <c r="AP4" s="6" t="s">
        <v>31</v>
      </c>
      <c r="AQ4" s="15" t="s">
        <v>31</v>
      </c>
    </row>
    <row r="5" spans="1:43" s="1" customFormat="1" ht="25.5" x14ac:dyDescent="0.2">
      <c r="A5" s="8">
        <v>45510.639825902777</v>
      </c>
      <c r="B5" s="9" t="s">
        <v>25</v>
      </c>
      <c r="C5" s="14" t="s">
        <v>28</v>
      </c>
      <c r="D5" s="5">
        <v>7</v>
      </c>
      <c r="E5" s="31" t="s">
        <v>33</v>
      </c>
      <c r="F5" s="35">
        <v>5</v>
      </c>
      <c r="G5" s="5">
        <v>5</v>
      </c>
      <c r="H5" s="5">
        <v>5</v>
      </c>
      <c r="I5" s="5">
        <v>5</v>
      </c>
      <c r="J5" s="5">
        <v>5</v>
      </c>
      <c r="K5" s="5">
        <v>5</v>
      </c>
      <c r="L5" s="5">
        <v>4</v>
      </c>
      <c r="M5" s="5">
        <v>4</v>
      </c>
      <c r="N5" s="5">
        <v>4</v>
      </c>
      <c r="O5" s="5">
        <v>5</v>
      </c>
      <c r="P5" s="31">
        <v>4</v>
      </c>
      <c r="Q5" s="35">
        <v>3</v>
      </c>
      <c r="R5" s="5">
        <v>4</v>
      </c>
      <c r="S5" s="5">
        <v>4</v>
      </c>
      <c r="T5" s="5">
        <v>5</v>
      </c>
      <c r="U5" s="5">
        <v>3</v>
      </c>
      <c r="V5" s="5">
        <v>4</v>
      </c>
      <c r="W5" s="5">
        <v>3</v>
      </c>
      <c r="X5" s="5">
        <v>4</v>
      </c>
      <c r="Y5" s="5">
        <v>4</v>
      </c>
      <c r="Z5" s="5">
        <v>4</v>
      </c>
      <c r="AA5" s="31">
        <v>4</v>
      </c>
      <c r="AB5" s="49" t="s">
        <v>31</v>
      </c>
      <c r="AC5" s="6" t="s">
        <v>31</v>
      </c>
      <c r="AD5" s="6" t="s">
        <v>31</v>
      </c>
      <c r="AE5" s="6" t="s">
        <v>31</v>
      </c>
      <c r="AF5" s="6" t="s">
        <v>31</v>
      </c>
      <c r="AG5" s="6" t="s">
        <v>31</v>
      </c>
      <c r="AH5" s="6" t="s">
        <v>31</v>
      </c>
      <c r="AI5" s="6" t="s">
        <v>31</v>
      </c>
      <c r="AJ5" s="6" t="s">
        <v>31</v>
      </c>
      <c r="AK5" s="6" t="s">
        <v>31</v>
      </c>
      <c r="AL5" s="6" t="s">
        <v>31</v>
      </c>
      <c r="AM5" s="6" t="s">
        <v>31</v>
      </c>
      <c r="AN5" s="6" t="s">
        <v>31</v>
      </c>
      <c r="AO5" s="6" t="s">
        <v>31</v>
      </c>
      <c r="AP5" s="6" t="s">
        <v>31</v>
      </c>
      <c r="AQ5" s="15" t="s">
        <v>31</v>
      </c>
    </row>
    <row r="6" spans="1:43" s="1" customFormat="1" ht="25.5" x14ac:dyDescent="0.2">
      <c r="A6" s="8">
        <v>45511.57303890046</v>
      </c>
      <c r="B6" s="9" t="s">
        <v>25</v>
      </c>
      <c r="C6" s="14" t="s">
        <v>28</v>
      </c>
      <c r="D6" s="5">
        <v>4</v>
      </c>
      <c r="E6" s="31" t="s">
        <v>33</v>
      </c>
      <c r="F6" s="35">
        <v>3</v>
      </c>
      <c r="G6" s="5">
        <v>5</v>
      </c>
      <c r="H6" s="5">
        <v>5</v>
      </c>
      <c r="I6" s="5">
        <v>5</v>
      </c>
      <c r="J6" s="5">
        <v>5</v>
      </c>
      <c r="K6" s="5">
        <v>3</v>
      </c>
      <c r="L6" s="5">
        <v>3</v>
      </c>
      <c r="M6" s="5">
        <v>4</v>
      </c>
      <c r="N6" s="5">
        <v>5</v>
      </c>
      <c r="O6" s="5">
        <v>5</v>
      </c>
      <c r="P6" s="31">
        <v>4</v>
      </c>
      <c r="Q6" s="35">
        <v>3</v>
      </c>
      <c r="R6" s="5">
        <v>4</v>
      </c>
      <c r="S6" s="5">
        <v>5</v>
      </c>
      <c r="T6" s="5">
        <v>5</v>
      </c>
      <c r="U6" s="5">
        <v>5</v>
      </c>
      <c r="V6" s="5">
        <v>5</v>
      </c>
      <c r="W6" s="5">
        <v>5</v>
      </c>
      <c r="X6" s="5">
        <v>3</v>
      </c>
      <c r="Y6" s="5">
        <v>4</v>
      </c>
      <c r="Z6" s="5">
        <v>5</v>
      </c>
      <c r="AA6" s="31">
        <v>5</v>
      </c>
      <c r="AB6" s="49" t="s">
        <v>31</v>
      </c>
      <c r="AC6" s="6" t="s">
        <v>31</v>
      </c>
      <c r="AD6" s="6" t="s">
        <v>31</v>
      </c>
      <c r="AE6" s="6" t="s">
        <v>31</v>
      </c>
      <c r="AF6" s="6" t="s">
        <v>31</v>
      </c>
      <c r="AG6" s="6" t="s">
        <v>31</v>
      </c>
      <c r="AH6" s="6" t="s">
        <v>31</v>
      </c>
      <c r="AI6" s="6" t="s">
        <v>31</v>
      </c>
      <c r="AJ6" s="6" t="s">
        <v>31</v>
      </c>
      <c r="AK6" s="6" t="s">
        <v>31</v>
      </c>
      <c r="AL6" s="6" t="s">
        <v>31</v>
      </c>
      <c r="AM6" s="6" t="s">
        <v>31</v>
      </c>
      <c r="AN6" s="6" t="s">
        <v>31</v>
      </c>
      <c r="AO6" s="6" t="s">
        <v>31</v>
      </c>
      <c r="AP6" s="6" t="s">
        <v>31</v>
      </c>
      <c r="AQ6" s="15" t="s">
        <v>31</v>
      </c>
    </row>
    <row r="7" spans="1:43" s="1" customFormat="1" x14ac:dyDescent="0.2">
      <c r="A7" s="8">
        <v>45512.348448888893</v>
      </c>
      <c r="B7" s="9" t="s">
        <v>25</v>
      </c>
      <c r="C7" s="14" t="s">
        <v>27</v>
      </c>
      <c r="D7" s="5">
        <v>3</v>
      </c>
      <c r="E7" s="31" t="s">
        <v>33</v>
      </c>
      <c r="F7" s="35">
        <v>5</v>
      </c>
      <c r="G7" s="5">
        <v>4</v>
      </c>
      <c r="H7" s="5">
        <v>4</v>
      </c>
      <c r="I7" s="5">
        <v>4</v>
      </c>
      <c r="J7" s="5">
        <v>4</v>
      </c>
      <c r="K7" s="5">
        <v>4</v>
      </c>
      <c r="L7" s="5">
        <v>4</v>
      </c>
      <c r="M7" s="5">
        <v>3</v>
      </c>
      <c r="N7" s="5">
        <v>4</v>
      </c>
      <c r="O7" s="5">
        <v>3</v>
      </c>
      <c r="P7" s="31">
        <v>4</v>
      </c>
      <c r="Q7" s="35">
        <v>5</v>
      </c>
      <c r="R7" s="5">
        <v>5</v>
      </c>
      <c r="S7" s="5">
        <v>5</v>
      </c>
      <c r="T7" s="5">
        <v>2</v>
      </c>
      <c r="U7" s="5">
        <v>2</v>
      </c>
      <c r="V7" s="5">
        <v>5</v>
      </c>
      <c r="W7" s="5">
        <v>2</v>
      </c>
      <c r="X7" s="5">
        <v>5</v>
      </c>
      <c r="Y7" s="5">
        <v>5</v>
      </c>
      <c r="Z7" s="5">
        <v>4</v>
      </c>
      <c r="AA7" s="31">
        <v>2</v>
      </c>
      <c r="AB7" s="49" t="s">
        <v>31</v>
      </c>
      <c r="AC7" s="6" t="s">
        <v>31</v>
      </c>
      <c r="AD7" s="6" t="s">
        <v>31</v>
      </c>
      <c r="AE7" s="6" t="s">
        <v>31</v>
      </c>
      <c r="AF7" s="6" t="s">
        <v>31</v>
      </c>
      <c r="AG7" s="6" t="s">
        <v>31</v>
      </c>
      <c r="AH7" s="6" t="s">
        <v>31</v>
      </c>
      <c r="AI7" s="6" t="s">
        <v>31</v>
      </c>
      <c r="AJ7" s="6" t="s">
        <v>31</v>
      </c>
      <c r="AK7" s="6" t="s">
        <v>31</v>
      </c>
      <c r="AL7" s="6" t="s">
        <v>31</v>
      </c>
      <c r="AM7" s="6" t="s">
        <v>31</v>
      </c>
      <c r="AN7" s="6" t="s">
        <v>31</v>
      </c>
      <c r="AO7" s="6" t="s">
        <v>31</v>
      </c>
      <c r="AP7" s="6" t="s">
        <v>31</v>
      </c>
      <c r="AQ7" s="15" t="s">
        <v>31</v>
      </c>
    </row>
    <row r="8" spans="1:43" s="1" customFormat="1" ht="25.5" x14ac:dyDescent="0.2">
      <c r="A8" s="8">
        <v>45512.369715520836</v>
      </c>
      <c r="B8" s="9" t="s">
        <v>25</v>
      </c>
      <c r="C8" s="14" t="s">
        <v>28</v>
      </c>
      <c r="D8" s="5">
        <v>2</v>
      </c>
      <c r="E8" s="31" t="s">
        <v>33</v>
      </c>
      <c r="F8" s="35">
        <v>5</v>
      </c>
      <c r="G8" s="5">
        <v>5</v>
      </c>
      <c r="H8" s="5">
        <v>5</v>
      </c>
      <c r="I8" s="5">
        <v>5</v>
      </c>
      <c r="J8" s="5">
        <v>5</v>
      </c>
      <c r="K8" s="5">
        <v>5</v>
      </c>
      <c r="L8" s="5">
        <v>5</v>
      </c>
      <c r="M8" s="5">
        <v>5</v>
      </c>
      <c r="N8" s="5">
        <v>5</v>
      </c>
      <c r="O8" s="5">
        <v>5</v>
      </c>
      <c r="P8" s="31">
        <v>5</v>
      </c>
      <c r="Q8" s="35">
        <v>5</v>
      </c>
      <c r="R8" s="5">
        <v>4</v>
      </c>
      <c r="S8" s="5">
        <v>4</v>
      </c>
      <c r="T8" s="5">
        <v>5</v>
      </c>
      <c r="U8" s="5">
        <v>5</v>
      </c>
      <c r="V8" s="5">
        <v>4</v>
      </c>
      <c r="W8" s="5">
        <v>5</v>
      </c>
      <c r="X8" s="5">
        <v>5</v>
      </c>
      <c r="Y8" s="5">
        <v>5</v>
      </c>
      <c r="Z8" s="5">
        <v>3</v>
      </c>
      <c r="AA8" s="31">
        <v>5</v>
      </c>
      <c r="AB8" s="49" t="s">
        <v>31</v>
      </c>
      <c r="AC8" s="6" t="s">
        <v>31</v>
      </c>
      <c r="AD8" s="6" t="s">
        <v>31</v>
      </c>
      <c r="AE8" s="6" t="s">
        <v>31</v>
      </c>
      <c r="AF8" s="6" t="s">
        <v>31</v>
      </c>
      <c r="AG8" s="6" t="s">
        <v>31</v>
      </c>
      <c r="AH8" s="6" t="s">
        <v>31</v>
      </c>
      <c r="AI8" s="6" t="s">
        <v>31</v>
      </c>
      <c r="AJ8" s="6" t="s">
        <v>31</v>
      </c>
      <c r="AK8" s="6" t="s">
        <v>31</v>
      </c>
      <c r="AL8" s="6" t="s">
        <v>31</v>
      </c>
      <c r="AM8" s="6" t="s">
        <v>31</v>
      </c>
      <c r="AN8" s="6" t="s">
        <v>31</v>
      </c>
      <c r="AO8" s="6" t="s">
        <v>31</v>
      </c>
      <c r="AP8" s="6" t="s">
        <v>31</v>
      </c>
      <c r="AQ8" s="15" t="s">
        <v>31</v>
      </c>
    </row>
    <row r="9" spans="1:43" s="1" customFormat="1" ht="25.5" x14ac:dyDescent="0.2">
      <c r="A9" s="8">
        <v>45512.442394525468</v>
      </c>
      <c r="B9" s="9" t="s">
        <v>25</v>
      </c>
      <c r="C9" s="14" t="s">
        <v>28</v>
      </c>
      <c r="D9" s="5">
        <v>30</v>
      </c>
      <c r="E9" s="31" t="s">
        <v>5</v>
      </c>
      <c r="F9" s="35">
        <v>4</v>
      </c>
      <c r="G9" s="5">
        <v>5</v>
      </c>
      <c r="H9" s="5">
        <v>5</v>
      </c>
      <c r="I9" s="5">
        <v>5</v>
      </c>
      <c r="J9" s="5">
        <v>5</v>
      </c>
      <c r="K9" s="5">
        <v>4</v>
      </c>
      <c r="L9" s="5">
        <v>4</v>
      </c>
      <c r="M9" s="5">
        <v>4</v>
      </c>
      <c r="N9" s="5">
        <v>4</v>
      </c>
      <c r="O9" s="5">
        <v>5</v>
      </c>
      <c r="P9" s="31">
        <v>5</v>
      </c>
      <c r="Q9" s="35">
        <v>4</v>
      </c>
      <c r="R9" s="5">
        <v>3</v>
      </c>
      <c r="S9" s="5">
        <v>4</v>
      </c>
      <c r="T9" s="5">
        <v>3</v>
      </c>
      <c r="U9" s="5">
        <v>3</v>
      </c>
      <c r="V9" s="5">
        <v>4</v>
      </c>
      <c r="W9" s="5">
        <v>3</v>
      </c>
      <c r="X9" s="5">
        <v>3</v>
      </c>
      <c r="Y9" s="5">
        <v>4</v>
      </c>
      <c r="Z9" s="5">
        <v>4</v>
      </c>
      <c r="AA9" s="31">
        <v>5</v>
      </c>
      <c r="AB9" s="49" t="s">
        <v>31</v>
      </c>
      <c r="AC9" s="6" t="s">
        <v>31</v>
      </c>
      <c r="AD9" s="6" t="s">
        <v>31</v>
      </c>
      <c r="AE9" s="6" t="s">
        <v>31</v>
      </c>
      <c r="AF9" s="6" t="s">
        <v>31</v>
      </c>
      <c r="AG9" s="6" t="s">
        <v>31</v>
      </c>
      <c r="AH9" s="6" t="s">
        <v>31</v>
      </c>
      <c r="AI9" s="6" t="s">
        <v>31</v>
      </c>
      <c r="AJ9" s="6" t="s">
        <v>31</v>
      </c>
      <c r="AK9" s="6" t="s">
        <v>31</v>
      </c>
      <c r="AL9" s="6" t="s">
        <v>31</v>
      </c>
      <c r="AM9" s="6" t="s">
        <v>31</v>
      </c>
      <c r="AN9" s="6" t="s">
        <v>31</v>
      </c>
      <c r="AO9" s="6" t="s">
        <v>31</v>
      </c>
      <c r="AP9" s="6" t="s">
        <v>31</v>
      </c>
      <c r="AQ9" s="15" t="s">
        <v>31</v>
      </c>
    </row>
    <row r="10" spans="1:43" s="1" customFormat="1" ht="25.5" x14ac:dyDescent="0.2">
      <c r="A10" s="8">
        <v>45512.444388692129</v>
      </c>
      <c r="B10" s="9" t="s">
        <v>25</v>
      </c>
      <c r="C10" s="14" t="s">
        <v>28</v>
      </c>
      <c r="D10" s="5">
        <v>13</v>
      </c>
      <c r="E10" s="31" t="s">
        <v>33</v>
      </c>
      <c r="F10" s="35">
        <v>4</v>
      </c>
      <c r="G10" s="5">
        <v>5</v>
      </c>
      <c r="H10" s="5">
        <v>5</v>
      </c>
      <c r="I10" s="5">
        <v>4</v>
      </c>
      <c r="J10" s="5">
        <v>4</v>
      </c>
      <c r="K10" s="5">
        <v>4</v>
      </c>
      <c r="L10" s="5">
        <v>4</v>
      </c>
      <c r="M10" s="5">
        <v>4</v>
      </c>
      <c r="N10" s="5">
        <v>4</v>
      </c>
      <c r="O10" s="5">
        <v>4</v>
      </c>
      <c r="P10" s="31">
        <v>4</v>
      </c>
      <c r="Q10" s="35">
        <v>4</v>
      </c>
      <c r="R10" s="5">
        <v>5</v>
      </c>
      <c r="S10" s="5">
        <v>4</v>
      </c>
      <c r="T10" s="5">
        <v>2</v>
      </c>
      <c r="U10" s="5">
        <v>4</v>
      </c>
      <c r="V10" s="5">
        <v>4</v>
      </c>
      <c r="W10" s="5">
        <v>3</v>
      </c>
      <c r="X10" s="5">
        <v>3</v>
      </c>
      <c r="Y10" s="5">
        <v>4</v>
      </c>
      <c r="Z10" s="5">
        <v>2</v>
      </c>
      <c r="AA10" s="31">
        <v>5</v>
      </c>
      <c r="AB10" s="49" t="s">
        <v>31</v>
      </c>
      <c r="AC10" s="6" t="s">
        <v>31</v>
      </c>
      <c r="AD10" s="6" t="s">
        <v>31</v>
      </c>
      <c r="AE10" s="6" t="s">
        <v>31</v>
      </c>
      <c r="AF10" s="6" t="s">
        <v>31</v>
      </c>
      <c r="AG10" s="6" t="s">
        <v>31</v>
      </c>
      <c r="AH10" s="6" t="s">
        <v>31</v>
      </c>
      <c r="AI10" s="6" t="s">
        <v>31</v>
      </c>
      <c r="AJ10" s="6" t="s">
        <v>31</v>
      </c>
      <c r="AK10" s="6" t="s">
        <v>31</v>
      </c>
      <c r="AL10" s="6" t="s">
        <v>31</v>
      </c>
      <c r="AM10" s="6" t="s">
        <v>31</v>
      </c>
      <c r="AN10" s="6" t="s">
        <v>31</v>
      </c>
      <c r="AO10" s="6" t="s">
        <v>31</v>
      </c>
      <c r="AP10" s="6" t="s">
        <v>31</v>
      </c>
      <c r="AQ10" s="15" t="s">
        <v>31</v>
      </c>
    </row>
    <row r="11" spans="1:43" s="1" customFormat="1" x14ac:dyDescent="0.2">
      <c r="A11" s="8">
        <v>45512.717966550925</v>
      </c>
      <c r="B11" s="9" t="s">
        <v>25</v>
      </c>
      <c r="C11" s="14" t="s">
        <v>29</v>
      </c>
      <c r="D11" s="5">
        <v>25</v>
      </c>
      <c r="E11" s="31" t="s">
        <v>6</v>
      </c>
      <c r="F11" s="35">
        <v>5</v>
      </c>
      <c r="G11" s="5">
        <v>5</v>
      </c>
      <c r="H11" s="5">
        <v>5</v>
      </c>
      <c r="I11" s="5">
        <v>5</v>
      </c>
      <c r="J11" s="5">
        <v>5</v>
      </c>
      <c r="K11" s="5">
        <v>4</v>
      </c>
      <c r="L11" s="5">
        <v>4</v>
      </c>
      <c r="M11" s="5">
        <v>4</v>
      </c>
      <c r="N11" s="5">
        <v>5</v>
      </c>
      <c r="O11" s="5">
        <v>5</v>
      </c>
      <c r="P11" s="31">
        <v>5</v>
      </c>
      <c r="Q11" s="35">
        <v>3</v>
      </c>
      <c r="R11" s="5">
        <v>2</v>
      </c>
      <c r="S11" s="5">
        <v>4</v>
      </c>
      <c r="T11" s="5">
        <v>4</v>
      </c>
      <c r="U11" s="5">
        <v>4</v>
      </c>
      <c r="V11" s="5">
        <v>4</v>
      </c>
      <c r="W11" s="5">
        <v>3</v>
      </c>
      <c r="X11" s="5">
        <v>3</v>
      </c>
      <c r="Y11" s="5">
        <v>4</v>
      </c>
      <c r="Z11" s="5">
        <v>2</v>
      </c>
      <c r="AA11" s="31">
        <v>2</v>
      </c>
      <c r="AB11" s="49" t="s">
        <v>31</v>
      </c>
      <c r="AC11" s="6" t="s">
        <v>31</v>
      </c>
      <c r="AD11" s="6" t="s">
        <v>31</v>
      </c>
      <c r="AE11" s="6" t="s">
        <v>31</v>
      </c>
      <c r="AF11" s="6" t="s">
        <v>31</v>
      </c>
      <c r="AG11" s="6" t="s">
        <v>31</v>
      </c>
      <c r="AH11" s="6" t="s">
        <v>31</v>
      </c>
      <c r="AI11" s="6" t="s">
        <v>31</v>
      </c>
      <c r="AJ11" s="6" t="s">
        <v>31</v>
      </c>
      <c r="AK11" s="6" t="s">
        <v>31</v>
      </c>
      <c r="AL11" s="6" t="s">
        <v>31</v>
      </c>
      <c r="AM11" s="6" t="s">
        <v>31</v>
      </c>
      <c r="AN11" s="6" t="s">
        <v>31</v>
      </c>
      <c r="AO11" s="6" t="s">
        <v>31</v>
      </c>
      <c r="AP11" s="6" t="s">
        <v>31</v>
      </c>
      <c r="AQ11" s="15" t="s">
        <v>31</v>
      </c>
    </row>
    <row r="12" spans="1:43" s="1" customFormat="1" ht="25.5" x14ac:dyDescent="0.2">
      <c r="A12" s="10">
        <v>45514</v>
      </c>
      <c r="B12" s="11" t="s">
        <v>25</v>
      </c>
      <c r="C12" s="14" t="s">
        <v>28</v>
      </c>
      <c r="D12" s="5">
        <v>2</v>
      </c>
      <c r="E12" s="32" t="s">
        <v>33</v>
      </c>
      <c r="F12" s="35">
        <v>4</v>
      </c>
      <c r="G12" s="5">
        <v>4</v>
      </c>
      <c r="H12" s="5">
        <v>4</v>
      </c>
      <c r="I12" s="5">
        <v>4</v>
      </c>
      <c r="J12" s="5">
        <v>4</v>
      </c>
      <c r="K12" s="5">
        <v>4</v>
      </c>
      <c r="L12" s="5">
        <v>3</v>
      </c>
      <c r="M12" s="5">
        <v>3</v>
      </c>
      <c r="N12" s="5">
        <v>3</v>
      </c>
      <c r="O12" s="5">
        <v>4</v>
      </c>
      <c r="P12" s="31">
        <v>4</v>
      </c>
      <c r="Q12" s="35">
        <v>5</v>
      </c>
      <c r="R12" s="5">
        <v>3</v>
      </c>
      <c r="S12" s="5">
        <v>5</v>
      </c>
      <c r="T12" s="5">
        <v>3</v>
      </c>
      <c r="U12" s="5">
        <v>5</v>
      </c>
      <c r="V12" s="5">
        <v>5</v>
      </c>
      <c r="W12" s="5">
        <v>5</v>
      </c>
      <c r="X12" s="5">
        <v>5</v>
      </c>
      <c r="Y12" s="5">
        <v>5</v>
      </c>
      <c r="Z12" s="5">
        <v>3</v>
      </c>
      <c r="AA12" s="31">
        <v>5</v>
      </c>
      <c r="AB12" s="49" t="s">
        <v>31</v>
      </c>
      <c r="AC12" s="6" t="s">
        <v>31</v>
      </c>
      <c r="AD12" s="6" t="s">
        <v>31</v>
      </c>
      <c r="AE12" s="6" t="s">
        <v>31</v>
      </c>
      <c r="AF12" s="6" t="s">
        <v>31</v>
      </c>
      <c r="AG12" s="6" t="s">
        <v>31</v>
      </c>
      <c r="AH12" s="6" t="s">
        <v>31</v>
      </c>
      <c r="AI12" s="6" t="s">
        <v>31</v>
      </c>
      <c r="AJ12" s="6" t="s">
        <v>31</v>
      </c>
      <c r="AK12" s="6" t="s">
        <v>31</v>
      </c>
      <c r="AL12" s="6" t="s">
        <v>31</v>
      </c>
      <c r="AM12" s="6" t="s">
        <v>31</v>
      </c>
      <c r="AN12" s="6" t="s">
        <v>31</v>
      </c>
      <c r="AO12" s="6" t="s">
        <v>31</v>
      </c>
      <c r="AP12" s="6" t="s">
        <v>31</v>
      </c>
      <c r="AQ12" s="15" t="s">
        <v>31</v>
      </c>
    </row>
    <row r="13" spans="1:43" s="1" customFormat="1" ht="25.5" x14ac:dyDescent="0.2">
      <c r="A13" s="8">
        <v>45516.89024695602</v>
      </c>
      <c r="B13" s="9" t="s">
        <v>25</v>
      </c>
      <c r="C13" s="14" t="s">
        <v>28</v>
      </c>
      <c r="D13" s="5">
        <v>2</v>
      </c>
      <c r="E13" s="31" t="s">
        <v>33</v>
      </c>
      <c r="F13" s="35">
        <v>5</v>
      </c>
      <c r="G13" s="5">
        <v>5</v>
      </c>
      <c r="H13" s="5">
        <v>5</v>
      </c>
      <c r="I13" s="5">
        <v>5</v>
      </c>
      <c r="J13" s="5">
        <v>5</v>
      </c>
      <c r="K13" s="5">
        <v>5</v>
      </c>
      <c r="L13" s="5">
        <v>5</v>
      </c>
      <c r="M13" s="5">
        <v>5</v>
      </c>
      <c r="N13" s="5">
        <v>5</v>
      </c>
      <c r="O13" s="5">
        <v>5</v>
      </c>
      <c r="P13" s="31">
        <v>5</v>
      </c>
      <c r="Q13" s="35">
        <v>5</v>
      </c>
      <c r="R13" s="5">
        <v>2</v>
      </c>
      <c r="S13" s="5">
        <v>4</v>
      </c>
      <c r="T13" s="5">
        <v>5</v>
      </c>
      <c r="U13" s="5">
        <v>5</v>
      </c>
      <c r="V13" s="5">
        <v>4</v>
      </c>
      <c r="W13" s="5">
        <v>4</v>
      </c>
      <c r="X13" s="5">
        <v>4</v>
      </c>
      <c r="Y13" s="5">
        <v>5</v>
      </c>
      <c r="Z13" s="5">
        <v>4</v>
      </c>
      <c r="AA13" s="31">
        <v>5</v>
      </c>
      <c r="AB13" s="49" t="s">
        <v>31</v>
      </c>
      <c r="AC13" s="6" t="s">
        <v>31</v>
      </c>
      <c r="AD13" s="6" t="s">
        <v>31</v>
      </c>
      <c r="AE13" s="6" t="s">
        <v>31</v>
      </c>
      <c r="AF13" s="6" t="s">
        <v>31</v>
      </c>
      <c r="AG13" s="6" t="s">
        <v>31</v>
      </c>
      <c r="AH13" s="6" t="s">
        <v>31</v>
      </c>
      <c r="AI13" s="6" t="s">
        <v>31</v>
      </c>
      <c r="AJ13" s="6" t="s">
        <v>31</v>
      </c>
      <c r="AK13" s="6" t="s">
        <v>31</v>
      </c>
      <c r="AL13" s="6" t="s">
        <v>31</v>
      </c>
      <c r="AM13" s="6" t="s">
        <v>31</v>
      </c>
      <c r="AN13" s="6" t="s">
        <v>31</v>
      </c>
      <c r="AO13" s="6" t="s">
        <v>31</v>
      </c>
      <c r="AP13" s="6" t="s">
        <v>31</v>
      </c>
      <c r="AQ13" s="15" t="s">
        <v>31</v>
      </c>
    </row>
    <row r="14" spans="1:43" s="1" customFormat="1" ht="26.25" thickBot="1" x14ac:dyDescent="0.25">
      <c r="A14" s="12">
        <v>45520</v>
      </c>
      <c r="B14" s="24" t="s">
        <v>25</v>
      </c>
      <c r="C14" s="25" t="s">
        <v>28</v>
      </c>
      <c r="D14" s="18">
        <v>12</v>
      </c>
      <c r="E14" s="33" t="s">
        <v>6</v>
      </c>
      <c r="F14" s="36">
        <v>4</v>
      </c>
      <c r="G14" s="37">
        <v>5</v>
      </c>
      <c r="H14" s="37">
        <v>5</v>
      </c>
      <c r="I14" s="37">
        <v>5</v>
      </c>
      <c r="J14" s="37">
        <v>5</v>
      </c>
      <c r="K14" s="37">
        <v>5</v>
      </c>
      <c r="L14" s="37">
        <v>4</v>
      </c>
      <c r="M14" s="37">
        <v>4</v>
      </c>
      <c r="N14" s="37">
        <v>4</v>
      </c>
      <c r="O14" s="37">
        <v>5</v>
      </c>
      <c r="P14" s="44">
        <v>5</v>
      </c>
      <c r="Q14" s="36">
        <v>4</v>
      </c>
      <c r="R14" s="37">
        <v>5</v>
      </c>
      <c r="S14" s="37">
        <v>5</v>
      </c>
      <c r="T14" s="37">
        <v>3</v>
      </c>
      <c r="U14" s="37">
        <v>3</v>
      </c>
      <c r="V14" s="37">
        <v>4</v>
      </c>
      <c r="W14" s="37">
        <v>3</v>
      </c>
      <c r="X14" s="37">
        <v>3</v>
      </c>
      <c r="Y14" s="37">
        <v>4</v>
      </c>
      <c r="Z14" s="37">
        <v>5</v>
      </c>
      <c r="AA14" s="44">
        <v>5</v>
      </c>
      <c r="AB14" s="61" t="s">
        <v>31</v>
      </c>
      <c r="AC14" s="62" t="s">
        <v>31</v>
      </c>
      <c r="AD14" s="62" t="s">
        <v>31</v>
      </c>
      <c r="AE14" s="62" t="s">
        <v>31</v>
      </c>
      <c r="AF14" s="62" t="s">
        <v>31</v>
      </c>
      <c r="AG14" s="62" t="s">
        <v>31</v>
      </c>
      <c r="AH14" s="62" t="s">
        <v>31</v>
      </c>
      <c r="AI14" s="62" t="s">
        <v>31</v>
      </c>
      <c r="AJ14" s="62" t="s">
        <v>31</v>
      </c>
      <c r="AK14" s="62" t="s">
        <v>31</v>
      </c>
      <c r="AL14" s="62" t="s">
        <v>31</v>
      </c>
      <c r="AM14" s="62" t="s">
        <v>31</v>
      </c>
      <c r="AN14" s="62" t="s">
        <v>31</v>
      </c>
      <c r="AO14" s="62" t="s">
        <v>31</v>
      </c>
      <c r="AP14" s="62" t="s">
        <v>31</v>
      </c>
      <c r="AQ14" s="19" t="s">
        <v>31</v>
      </c>
    </row>
    <row r="15" spans="1:43" s="1" customFormat="1" x14ac:dyDescent="0.2">
      <c r="A15" s="20">
        <v>45525</v>
      </c>
      <c r="B15" s="21" t="s">
        <v>30</v>
      </c>
      <c r="C15" s="22" t="s">
        <v>27</v>
      </c>
      <c r="D15" s="23">
        <v>9</v>
      </c>
      <c r="E15" s="34" t="s">
        <v>33</v>
      </c>
      <c r="F15" s="38">
        <v>3</v>
      </c>
      <c r="G15" s="23">
        <v>5</v>
      </c>
      <c r="H15" s="23">
        <v>4</v>
      </c>
      <c r="I15" s="23">
        <v>4</v>
      </c>
      <c r="J15" s="23">
        <v>4</v>
      </c>
      <c r="K15" s="23">
        <v>3</v>
      </c>
      <c r="L15" s="23">
        <v>3</v>
      </c>
      <c r="M15" s="23">
        <v>3</v>
      </c>
      <c r="N15" s="23">
        <v>3</v>
      </c>
      <c r="O15" s="23">
        <v>4</v>
      </c>
      <c r="P15" s="45">
        <v>4</v>
      </c>
      <c r="Q15" s="38">
        <v>5</v>
      </c>
      <c r="R15" s="23">
        <v>5</v>
      </c>
      <c r="S15" s="23">
        <v>3</v>
      </c>
      <c r="T15" s="23">
        <v>4</v>
      </c>
      <c r="U15" s="23">
        <v>2</v>
      </c>
      <c r="V15" s="23">
        <v>3</v>
      </c>
      <c r="W15" s="23">
        <v>4</v>
      </c>
      <c r="X15" s="23">
        <v>3</v>
      </c>
      <c r="Y15" s="23">
        <v>5</v>
      </c>
      <c r="Z15" s="23">
        <v>3</v>
      </c>
      <c r="AA15" s="45">
        <v>5</v>
      </c>
      <c r="AB15" s="55">
        <v>3</v>
      </c>
      <c r="AC15" s="56">
        <v>4</v>
      </c>
      <c r="AD15" s="56">
        <v>3</v>
      </c>
      <c r="AE15" s="56">
        <v>3</v>
      </c>
      <c r="AF15" s="56">
        <v>3</v>
      </c>
      <c r="AG15" s="56">
        <v>4</v>
      </c>
      <c r="AH15" s="56">
        <v>3</v>
      </c>
      <c r="AI15" s="56">
        <v>4</v>
      </c>
      <c r="AJ15" s="56">
        <v>5</v>
      </c>
      <c r="AK15" s="56">
        <v>3</v>
      </c>
      <c r="AL15" s="56">
        <v>4</v>
      </c>
      <c r="AM15" s="56">
        <v>4</v>
      </c>
      <c r="AN15" s="56">
        <v>3</v>
      </c>
      <c r="AO15" s="56">
        <v>4</v>
      </c>
      <c r="AP15" s="56">
        <v>3</v>
      </c>
      <c r="AQ15" s="57">
        <v>4</v>
      </c>
    </row>
    <row r="16" spans="1:43" s="1" customFormat="1" x14ac:dyDescent="0.2">
      <c r="A16" s="8">
        <v>45526</v>
      </c>
      <c r="B16" s="11" t="s">
        <v>30</v>
      </c>
      <c r="C16" s="16" t="s">
        <v>27</v>
      </c>
      <c r="D16" s="5">
        <v>13</v>
      </c>
      <c r="E16" s="32" t="s">
        <v>33</v>
      </c>
      <c r="F16" s="35">
        <v>5</v>
      </c>
      <c r="G16" s="5">
        <v>5</v>
      </c>
      <c r="H16" s="5">
        <v>5</v>
      </c>
      <c r="I16" s="5">
        <v>5</v>
      </c>
      <c r="J16" s="5">
        <v>5</v>
      </c>
      <c r="K16" s="5">
        <v>5</v>
      </c>
      <c r="L16" s="5">
        <v>5</v>
      </c>
      <c r="M16" s="5">
        <v>4</v>
      </c>
      <c r="N16" s="5">
        <v>3</v>
      </c>
      <c r="O16" s="5">
        <v>4</v>
      </c>
      <c r="P16" s="31">
        <v>4</v>
      </c>
      <c r="Q16" s="35">
        <v>5</v>
      </c>
      <c r="R16" s="5">
        <v>5</v>
      </c>
      <c r="S16" s="5">
        <v>4</v>
      </c>
      <c r="T16" s="5">
        <v>4</v>
      </c>
      <c r="U16" s="5">
        <v>4</v>
      </c>
      <c r="V16" s="5">
        <v>5</v>
      </c>
      <c r="W16" s="5">
        <v>3</v>
      </c>
      <c r="X16" s="5">
        <v>3</v>
      </c>
      <c r="Y16" s="5">
        <v>5</v>
      </c>
      <c r="Z16" s="5">
        <v>4</v>
      </c>
      <c r="AA16" s="31">
        <v>5</v>
      </c>
      <c r="AB16" s="50">
        <v>5</v>
      </c>
      <c r="AC16" s="48">
        <v>5</v>
      </c>
      <c r="AD16" s="48">
        <v>5</v>
      </c>
      <c r="AE16" s="48">
        <v>4</v>
      </c>
      <c r="AF16" s="48">
        <v>5</v>
      </c>
      <c r="AG16" s="48">
        <v>5</v>
      </c>
      <c r="AH16" s="48">
        <v>5</v>
      </c>
      <c r="AI16" s="48">
        <v>4</v>
      </c>
      <c r="AJ16" s="48">
        <v>5</v>
      </c>
      <c r="AK16" s="48">
        <v>5</v>
      </c>
      <c r="AL16" s="48">
        <v>5</v>
      </c>
      <c r="AM16" s="48">
        <v>4</v>
      </c>
      <c r="AN16" s="48">
        <v>5</v>
      </c>
      <c r="AO16" s="48">
        <v>5</v>
      </c>
      <c r="AP16" s="48">
        <v>4</v>
      </c>
      <c r="AQ16" s="51">
        <v>4</v>
      </c>
    </row>
    <row r="17" spans="1:43" s="1" customFormat="1" x14ac:dyDescent="0.2">
      <c r="A17" s="8">
        <v>45526</v>
      </c>
      <c r="B17" s="11" t="s">
        <v>30</v>
      </c>
      <c r="C17" s="16" t="s">
        <v>27</v>
      </c>
      <c r="D17" s="5">
        <v>3</v>
      </c>
      <c r="E17" s="32" t="s">
        <v>33</v>
      </c>
      <c r="F17" s="35">
        <v>5</v>
      </c>
      <c r="G17" s="5">
        <v>5</v>
      </c>
      <c r="H17" s="5">
        <v>5</v>
      </c>
      <c r="I17" s="5">
        <v>5</v>
      </c>
      <c r="J17" s="5">
        <v>5</v>
      </c>
      <c r="K17" s="5">
        <v>5</v>
      </c>
      <c r="L17" s="5">
        <v>5</v>
      </c>
      <c r="M17" s="5">
        <v>5</v>
      </c>
      <c r="N17" s="5">
        <v>5</v>
      </c>
      <c r="O17" s="5">
        <v>5</v>
      </c>
      <c r="P17" s="31">
        <v>5</v>
      </c>
      <c r="Q17" s="35">
        <v>5</v>
      </c>
      <c r="R17" s="5">
        <v>5</v>
      </c>
      <c r="S17" s="5">
        <v>5</v>
      </c>
      <c r="T17" s="5">
        <v>4</v>
      </c>
      <c r="U17" s="5">
        <v>4</v>
      </c>
      <c r="V17" s="5">
        <v>5</v>
      </c>
      <c r="W17" s="5">
        <v>5</v>
      </c>
      <c r="X17" s="5">
        <v>5</v>
      </c>
      <c r="Y17" s="5">
        <v>5</v>
      </c>
      <c r="Z17" s="5">
        <v>5</v>
      </c>
      <c r="AA17" s="31">
        <v>4</v>
      </c>
      <c r="AB17" s="50">
        <v>5</v>
      </c>
      <c r="AC17" s="48">
        <v>5</v>
      </c>
      <c r="AD17" s="48">
        <v>5</v>
      </c>
      <c r="AE17" s="48">
        <v>5</v>
      </c>
      <c r="AF17" s="48">
        <v>5</v>
      </c>
      <c r="AG17" s="48">
        <v>5</v>
      </c>
      <c r="AH17" s="48">
        <v>5</v>
      </c>
      <c r="AI17" s="48">
        <v>5</v>
      </c>
      <c r="AJ17" s="48">
        <v>5</v>
      </c>
      <c r="AK17" s="48">
        <v>5</v>
      </c>
      <c r="AL17" s="48">
        <v>5</v>
      </c>
      <c r="AM17" s="48">
        <v>5</v>
      </c>
      <c r="AN17" s="48">
        <v>3</v>
      </c>
      <c r="AO17" s="48">
        <v>4</v>
      </c>
      <c r="AP17" s="48">
        <v>4</v>
      </c>
      <c r="AQ17" s="51">
        <v>4</v>
      </c>
    </row>
    <row r="18" spans="1:43" s="4" customFormat="1" x14ac:dyDescent="0.2">
      <c r="A18" s="8">
        <v>45526</v>
      </c>
      <c r="B18" s="11" t="s">
        <v>30</v>
      </c>
      <c r="C18" s="16" t="s">
        <v>27</v>
      </c>
      <c r="D18" s="7">
        <v>4</v>
      </c>
      <c r="E18" s="32" t="s">
        <v>33</v>
      </c>
      <c r="F18" s="35">
        <v>5</v>
      </c>
      <c r="G18" s="5">
        <v>5</v>
      </c>
      <c r="H18" s="5">
        <v>5</v>
      </c>
      <c r="I18" s="5">
        <v>5</v>
      </c>
      <c r="J18" s="5">
        <v>5</v>
      </c>
      <c r="K18" s="5">
        <v>5</v>
      </c>
      <c r="L18" s="5">
        <v>5</v>
      </c>
      <c r="M18" s="5">
        <v>5</v>
      </c>
      <c r="N18" s="5">
        <v>5</v>
      </c>
      <c r="O18" s="5">
        <v>5</v>
      </c>
      <c r="P18" s="31">
        <v>5</v>
      </c>
      <c r="Q18" s="35">
        <v>5</v>
      </c>
      <c r="R18" s="5">
        <v>5</v>
      </c>
      <c r="S18" s="5">
        <v>5</v>
      </c>
      <c r="T18" s="5">
        <v>5</v>
      </c>
      <c r="U18" s="5">
        <v>3</v>
      </c>
      <c r="V18" s="5">
        <v>5</v>
      </c>
      <c r="W18" s="5">
        <v>5</v>
      </c>
      <c r="X18" s="5">
        <v>5</v>
      </c>
      <c r="Y18" s="5">
        <v>5</v>
      </c>
      <c r="Z18" s="5">
        <v>5</v>
      </c>
      <c r="AA18" s="31">
        <v>5</v>
      </c>
      <c r="AB18" s="50">
        <v>4</v>
      </c>
      <c r="AC18" s="48">
        <v>3</v>
      </c>
      <c r="AD18" s="48">
        <v>5</v>
      </c>
      <c r="AE18" s="48">
        <v>5</v>
      </c>
      <c r="AF18" s="48">
        <v>4</v>
      </c>
      <c r="AG18" s="48">
        <v>4</v>
      </c>
      <c r="AH18" s="48">
        <v>5</v>
      </c>
      <c r="AI18" s="48">
        <v>5</v>
      </c>
      <c r="AJ18" s="48">
        <v>3</v>
      </c>
      <c r="AK18" s="48">
        <v>3</v>
      </c>
      <c r="AL18" s="48">
        <v>5</v>
      </c>
      <c r="AM18" s="48">
        <v>4</v>
      </c>
      <c r="AN18" s="48">
        <v>2</v>
      </c>
      <c r="AO18" s="48">
        <v>2</v>
      </c>
      <c r="AP18" s="48">
        <v>5</v>
      </c>
      <c r="AQ18" s="51">
        <v>5</v>
      </c>
    </row>
    <row r="19" spans="1:43" s="1" customFormat="1" x14ac:dyDescent="0.2">
      <c r="A19" s="8">
        <v>45530</v>
      </c>
      <c r="B19" s="11" t="s">
        <v>30</v>
      </c>
      <c r="C19" s="16" t="s">
        <v>27</v>
      </c>
      <c r="D19" s="5">
        <v>7</v>
      </c>
      <c r="E19" s="32" t="s">
        <v>6</v>
      </c>
      <c r="F19" s="35">
        <v>5</v>
      </c>
      <c r="G19" s="5">
        <v>5</v>
      </c>
      <c r="H19" s="5">
        <v>5</v>
      </c>
      <c r="I19" s="5">
        <v>5</v>
      </c>
      <c r="J19" s="5">
        <v>5</v>
      </c>
      <c r="K19" s="5">
        <v>5</v>
      </c>
      <c r="L19" s="5">
        <v>5</v>
      </c>
      <c r="M19" s="5">
        <v>3</v>
      </c>
      <c r="N19" s="5">
        <v>4</v>
      </c>
      <c r="O19" s="5">
        <v>5</v>
      </c>
      <c r="P19" s="31">
        <v>5</v>
      </c>
      <c r="Q19" s="35">
        <v>5</v>
      </c>
      <c r="R19" s="5">
        <v>5</v>
      </c>
      <c r="S19" s="5">
        <v>5</v>
      </c>
      <c r="T19" s="5">
        <v>4</v>
      </c>
      <c r="U19" s="5">
        <v>5</v>
      </c>
      <c r="V19" s="5">
        <v>4</v>
      </c>
      <c r="W19" s="5">
        <v>3</v>
      </c>
      <c r="X19" s="5">
        <v>5</v>
      </c>
      <c r="Y19" s="5">
        <v>5</v>
      </c>
      <c r="Z19" s="5">
        <v>5</v>
      </c>
      <c r="AA19" s="31">
        <v>5</v>
      </c>
      <c r="AB19" s="50">
        <v>4</v>
      </c>
      <c r="AC19" s="48">
        <v>5</v>
      </c>
      <c r="AD19" s="48">
        <v>5</v>
      </c>
      <c r="AE19" s="48">
        <v>5</v>
      </c>
      <c r="AF19" s="48">
        <v>5</v>
      </c>
      <c r="AG19" s="48">
        <v>4</v>
      </c>
      <c r="AH19" s="48">
        <v>5</v>
      </c>
      <c r="AI19" s="48">
        <v>5</v>
      </c>
      <c r="AJ19" s="48">
        <v>5</v>
      </c>
      <c r="AK19" s="48">
        <v>4</v>
      </c>
      <c r="AL19" s="48">
        <v>5</v>
      </c>
      <c r="AM19" s="48">
        <v>5</v>
      </c>
      <c r="AN19" s="48">
        <v>4</v>
      </c>
      <c r="AO19" s="48">
        <v>4</v>
      </c>
      <c r="AP19" s="48">
        <v>4</v>
      </c>
      <c r="AQ19" s="51">
        <v>4</v>
      </c>
    </row>
    <row r="20" spans="1:43" s="1" customFormat="1" x14ac:dyDescent="0.2">
      <c r="A20" s="8">
        <v>45530</v>
      </c>
      <c r="B20" s="11" t="s">
        <v>30</v>
      </c>
      <c r="C20" s="16" t="s">
        <v>27</v>
      </c>
      <c r="D20" s="5">
        <v>3</v>
      </c>
      <c r="E20" s="32" t="s">
        <v>33</v>
      </c>
      <c r="F20" s="35">
        <v>4</v>
      </c>
      <c r="G20" s="5">
        <v>5</v>
      </c>
      <c r="H20" s="5">
        <v>5</v>
      </c>
      <c r="I20" s="5">
        <v>5</v>
      </c>
      <c r="J20" s="5">
        <v>5</v>
      </c>
      <c r="K20" s="5">
        <v>4</v>
      </c>
      <c r="L20" s="5">
        <v>3</v>
      </c>
      <c r="M20" s="5">
        <v>4</v>
      </c>
      <c r="N20" s="5">
        <v>5</v>
      </c>
      <c r="O20" s="5">
        <v>3</v>
      </c>
      <c r="P20" s="31">
        <v>3</v>
      </c>
      <c r="Q20" s="35">
        <v>5</v>
      </c>
      <c r="R20" s="5">
        <v>4</v>
      </c>
      <c r="S20" s="5">
        <v>5</v>
      </c>
      <c r="T20" s="5">
        <v>5</v>
      </c>
      <c r="U20" s="5">
        <v>4</v>
      </c>
      <c r="V20" s="5">
        <v>5</v>
      </c>
      <c r="W20" s="5">
        <v>4</v>
      </c>
      <c r="X20" s="5">
        <v>5</v>
      </c>
      <c r="Y20" s="5">
        <v>5</v>
      </c>
      <c r="Z20" s="5">
        <v>5</v>
      </c>
      <c r="AA20" s="31">
        <v>5</v>
      </c>
      <c r="AB20" s="50">
        <v>5</v>
      </c>
      <c r="AC20" s="48">
        <v>4</v>
      </c>
      <c r="AD20" s="48">
        <v>5</v>
      </c>
      <c r="AE20" s="48">
        <v>5</v>
      </c>
      <c r="AF20" s="48">
        <v>5</v>
      </c>
      <c r="AG20" s="48">
        <v>5</v>
      </c>
      <c r="AH20" s="48">
        <v>5</v>
      </c>
      <c r="AI20" s="48">
        <v>4</v>
      </c>
      <c r="AJ20" s="48">
        <v>5</v>
      </c>
      <c r="AK20" s="48">
        <v>4</v>
      </c>
      <c r="AL20" s="48">
        <v>5</v>
      </c>
      <c r="AM20" s="48">
        <v>4</v>
      </c>
      <c r="AN20" s="48">
        <v>5</v>
      </c>
      <c r="AO20" s="48">
        <v>5</v>
      </c>
      <c r="AP20" s="48">
        <v>4</v>
      </c>
      <c r="AQ20" s="51">
        <v>3</v>
      </c>
    </row>
    <row r="21" spans="1:43" s="1" customFormat="1" x14ac:dyDescent="0.2">
      <c r="A21" s="10">
        <v>45530</v>
      </c>
      <c r="B21" s="11" t="s">
        <v>30</v>
      </c>
      <c r="C21" s="16" t="s">
        <v>29</v>
      </c>
      <c r="D21" s="5">
        <v>17</v>
      </c>
      <c r="E21" s="32" t="s">
        <v>6</v>
      </c>
      <c r="F21" s="35">
        <v>5</v>
      </c>
      <c r="G21" s="5">
        <v>5</v>
      </c>
      <c r="H21" s="5">
        <v>5</v>
      </c>
      <c r="I21" s="5">
        <v>4</v>
      </c>
      <c r="J21" s="5">
        <v>4</v>
      </c>
      <c r="K21" s="5">
        <v>5</v>
      </c>
      <c r="L21" s="5">
        <v>3</v>
      </c>
      <c r="M21" s="5">
        <v>5</v>
      </c>
      <c r="N21" s="5">
        <v>4</v>
      </c>
      <c r="O21" s="5">
        <v>5</v>
      </c>
      <c r="P21" s="31">
        <v>5</v>
      </c>
      <c r="Q21" s="35">
        <v>5</v>
      </c>
      <c r="R21" s="5">
        <v>5</v>
      </c>
      <c r="S21" s="5">
        <v>5</v>
      </c>
      <c r="T21" s="5">
        <v>4</v>
      </c>
      <c r="U21" s="5">
        <v>4</v>
      </c>
      <c r="V21" s="5">
        <v>5</v>
      </c>
      <c r="W21" s="5">
        <v>3</v>
      </c>
      <c r="X21" s="5">
        <v>3</v>
      </c>
      <c r="Y21" s="5">
        <v>4</v>
      </c>
      <c r="Z21" s="5">
        <v>4</v>
      </c>
      <c r="AA21" s="31">
        <v>5</v>
      </c>
      <c r="AB21" s="50">
        <v>4</v>
      </c>
      <c r="AC21" s="48">
        <v>4</v>
      </c>
      <c r="AD21" s="48">
        <v>4</v>
      </c>
      <c r="AE21" s="48">
        <v>4</v>
      </c>
      <c r="AF21" s="48">
        <v>5</v>
      </c>
      <c r="AG21" s="48">
        <v>4</v>
      </c>
      <c r="AH21" s="48">
        <v>4</v>
      </c>
      <c r="AI21" s="48">
        <v>4</v>
      </c>
      <c r="AJ21" s="48">
        <v>4</v>
      </c>
      <c r="AK21" s="48">
        <v>3</v>
      </c>
      <c r="AL21" s="48">
        <v>5</v>
      </c>
      <c r="AM21" s="48">
        <v>4</v>
      </c>
      <c r="AN21" s="48">
        <v>3</v>
      </c>
      <c r="AO21" s="48">
        <v>4</v>
      </c>
      <c r="AP21" s="48">
        <v>4</v>
      </c>
      <c r="AQ21" s="51">
        <v>4</v>
      </c>
    </row>
    <row r="22" spans="1:43" s="1" customFormat="1" ht="13.5" thickBot="1" x14ac:dyDescent="0.25">
      <c r="A22" s="12">
        <v>45530</v>
      </c>
      <c r="B22" s="13" t="s">
        <v>30</v>
      </c>
      <c r="C22" s="17" t="s">
        <v>27</v>
      </c>
      <c r="D22" s="18">
        <v>18</v>
      </c>
      <c r="E22" s="33" t="s">
        <v>6</v>
      </c>
      <c r="F22" s="36">
        <v>3</v>
      </c>
      <c r="G22" s="37">
        <v>5</v>
      </c>
      <c r="H22" s="37">
        <v>5</v>
      </c>
      <c r="I22" s="37">
        <v>5</v>
      </c>
      <c r="J22" s="37">
        <v>5</v>
      </c>
      <c r="K22" s="37">
        <v>5</v>
      </c>
      <c r="L22" s="37">
        <v>5</v>
      </c>
      <c r="M22" s="37">
        <v>4</v>
      </c>
      <c r="N22" s="37">
        <v>3</v>
      </c>
      <c r="O22" s="37">
        <v>3</v>
      </c>
      <c r="P22" s="44">
        <v>5</v>
      </c>
      <c r="Q22" s="36">
        <v>3</v>
      </c>
      <c r="R22" s="37">
        <v>5</v>
      </c>
      <c r="S22" s="37">
        <v>3</v>
      </c>
      <c r="T22" s="37">
        <v>5</v>
      </c>
      <c r="U22" s="37">
        <v>5</v>
      </c>
      <c r="V22" s="37">
        <v>5</v>
      </c>
      <c r="W22" s="37">
        <v>5</v>
      </c>
      <c r="X22" s="37">
        <v>5</v>
      </c>
      <c r="Y22" s="37">
        <v>5</v>
      </c>
      <c r="Z22" s="37">
        <v>5</v>
      </c>
      <c r="AA22" s="44">
        <v>5</v>
      </c>
      <c r="AB22" s="52">
        <v>3</v>
      </c>
      <c r="AC22" s="53">
        <v>5</v>
      </c>
      <c r="AD22" s="53">
        <v>5</v>
      </c>
      <c r="AE22" s="53">
        <v>5</v>
      </c>
      <c r="AF22" s="53">
        <v>5</v>
      </c>
      <c r="AG22" s="53">
        <v>5</v>
      </c>
      <c r="AH22" s="53">
        <v>5</v>
      </c>
      <c r="AI22" s="53">
        <v>5</v>
      </c>
      <c r="AJ22" s="53">
        <v>5</v>
      </c>
      <c r="AK22" s="53">
        <v>5</v>
      </c>
      <c r="AL22" s="53">
        <v>5</v>
      </c>
      <c r="AM22" s="53">
        <v>5</v>
      </c>
      <c r="AN22" s="53">
        <v>4</v>
      </c>
      <c r="AO22" s="53">
        <v>5</v>
      </c>
      <c r="AP22" s="53">
        <v>5</v>
      </c>
      <c r="AQ22" s="54">
        <v>5</v>
      </c>
    </row>
    <row r="43" spans="33:33" x14ac:dyDescent="0.2">
      <c r="AG43" s="3"/>
    </row>
  </sheetData>
  <mergeCells count="8">
    <mergeCell ref="AB1:AQ1"/>
    <mergeCell ref="Q1:AA1"/>
    <mergeCell ref="F1:P1"/>
    <mergeCell ref="A1:A2"/>
    <mergeCell ref="B1:B2"/>
    <mergeCell ref="C1:C2"/>
    <mergeCell ref="D1:D2"/>
    <mergeCell ref="E1:E2"/>
  </mergeCells>
  <conditionalFormatting sqref="Q3:AA13 Q15:AA17 Q19:AA22">
    <cfRule type="colorScale" priority="20">
      <colorScale>
        <cfvo type="num" val="1"/>
        <cfvo type="num" val="3"/>
        <cfvo type="num" val="5"/>
        <color rgb="FFF8696B"/>
        <color rgb="FFFFEB84"/>
        <color rgb="FF63BE7B"/>
      </colorScale>
    </cfRule>
    <cfRule type="iconSet" priority="21">
      <iconSet iconSet="5Arrows">
        <cfvo type="percent" val="0"/>
        <cfvo type="num" val="2"/>
        <cfvo type="num" val="3"/>
        <cfvo type="num" val="4"/>
        <cfvo type="num" val="5"/>
      </iconSet>
    </cfRule>
  </conditionalFormatting>
  <conditionalFormatting sqref="F14:P14">
    <cfRule type="iconSet" priority="14">
      <iconSet iconSet="5Arrows">
        <cfvo type="percent" val="0"/>
        <cfvo type="num" val="2"/>
        <cfvo type="num" val="3"/>
        <cfvo type="num" val="4"/>
        <cfvo type="num" val="5"/>
      </iconSet>
    </cfRule>
    <cfRule type="colorScale" priority="17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Q14:AA14">
    <cfRule type="colorScale" priority="15">
      <colorScale>
        <cfvo type="num" val="1"/>
        <cfvo type="num" val="3"/>
        <cfvo type="num" val="5"/>
        <color rgb="FFF8696B"/>
        <color rgb="FFFFEB84"/>
        <color rgb="FF63BE7B"/>
      </colorScale>
    </cfRule>
    <cfRule type="iconSet" priority="16">
      <iconSet iconSet="5Arrows">
        <cfvo type="percent" val="0"/>
        <cfvo type="num" val="2"/>
        <cfvo type="num" val="3"/>
        <cfvo type="num" val="4"/>
        <cfvo type="num" val="5"/>
      </iconSet>
    </cfRule>
  </conditionalFormatting>
  <conditionalFormatting sqref="F18:P18">
    <cfRule type="iconSet" priority="6">
      <iconSet iconSet="5Arrows">
        <cfvo type="percent" val="0"/>
        <cfvo type="num" val="2"/>
        <cfvo type="num" val="3"/>
        <cfvo type="num" val="4"/>
        <cfvo type="num" val="5"/>
      </iconSet>
    </cfRule>
    <cfRule type="colorScale" priority="9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Q18:AA18">
    <cfRule type="colorScale" priority="7">
      <colorScale>
        <cfvo type="num" val="1"/>
        <cfvo type="num" val="3"/>
        <cfvo type="num" val="5"/>
        <color rgb="FFF8696B"/>
        <color rgb="FFFFEB84"/>
        <color rgb="FF63BE7B"/>
      </colorScale>
    </cfRule>
    <cfRule type="iconSet" priority="8">
      <iconSet iconSet="5Arrows">
        <cfvo type="percent" val="0"/>
        <cfvo type="num" val="2"/>
        <cfvo type="num" val="3"/>
        <cfvo type="num" val="4"/>
        <cfvo type="num" val="5"/>
      </iconSet>
    </cfRule>
  </conditionalFormatting>
  <conditionalFormatting sqref="F22:P22">
    <cfRule type="iconSet" priority="1">
      <iconSet iconSet="5Arrows">
        <cfvo type="percent" val="0"/>
        <cfvo type="num" val="2"/>
        <cfvo type="num" val="3"/>
        <cfvo type="num" val="4"/>
        <cfvo type="num" val="5"/>
      </iconSet>
    </cfRule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F15:P17 F19:P21 F3:P13">
    <cfRule type="iconSet" priority="23">
      <iconSet iconSet="5Arrows">
        <cfvo type="percent" val="0"/>
        <cfvo type="num" val="2"/>
        <cfvo type="num" val="3"/>
        <cfvo type="num" val="4"/>
        <cfvo type="num" val="5"/>
      </iconSet>
    </cfRule>
    <cfRule type="colorScale" priority="24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AB15:AQ17 AB19:AQ22">
    <cfRule type="iconSet" priority="120">
      <iconSet iconSet="5Arrows">
        <cfvo type="percent" val="0"/>
        <cfvo type="num" val="2"/>
        <cfvo type="num" val="3"/>
        <cfvo type="num" val="4"/>
        <cfvo type="num" val="5"/>
      </iconSet>
    </cfRule>
    <cfRule type="colorScale" priority="12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AB18:AQ18">
    <cfRule type="iconSet" priority="128">
      <iconSet iconSet="5Arrows">
        <cfvo type="percent" val="0"/>
        <cfvo type="num" val="2"/>
        <cfvo type="num" val="3"/>
        <cfvo type="num" val="4"/>
        <cfvo type="num" val="5"/>
      </iconSet>
    </cfRule>
    <cfRule type="colorScale" priority="129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6"/>
  <sheetViews>
    <sheetView tabSelected="1" topLeftCell="A25" zoomScale="85" zoomScaleNormal="85" workbookViewId="0">
      <selection sqref="A1:A2"/>
    </sheetView>
  </sheetViews>
  <sheetFormatPr baseColWidth="10" defaultRowHeight="12.75" x14ac:dyDescent="0.2"/>
  <cols>
    <col min="1" max="1" width="18.7109375" bestFit="1" customWidth="1"/>
    <col min="2" max="2" width="10.5703125" bestFit="1" customWidth="1"/>
    <col min="3" max="3" width="48.85546875" bestFit="1" customWidth="1"/>
    <col min="4" max="4" width="38.7109375" style="116" bestFit="1" customWidth="1"/>
    <col min="5" max="5" width="37.7109375" bestFit="1" customWidth="1"/>
    <col min="6" max="6" width="9.28515625" bestFit="1" customWidth="1"/>
    <col min="7" max="7" width="14.5703125" bestFit="1" customWidth="1"/>
    <col min="8" max="8" width="13.85546875" bestFit="1" customWidth="1"/>
    <col min="9" max="9" width="6.42578125" bestFit="1" customWidth="1"/>
    <col min="10" max="10" width="8.140625" bestFit="1" customWidth="1"/>
    <col min="11" max="11" width="21.7109375" bestFit="1" customWidth="1"/>
    <col min="12" max="12" width="24.85546875" bestFit="1" customWidth="1"/>
    <col min="13" max="13" width="6.85546875" bestFit="1" customWidth="1"/>
    <col min="14" max="14" width="8.7109375" bestFit="1" customWidth="1"/>
    <col min="15" max="15" width="21.42578125" bestFit="1" customWidth="1"/>
    <col min="16" max="16" width="14.28515625" bestFit="1" customWidth="1"/>
    <col min="17" max="17" width="26.28515625" customWidth="1"/>
    <col min="18" max="18" width="50.42578125" customWidth="1"/>
    <col min="19" max="19" width="79.42578125" customWidth="1"/>
    <col min="20" max="20" width="35.7109375" customWidth="1"/>
    <col min="21" max="21" width="26" customWidth="1"/>
    <col min="22" max="22" width="50.42578125" customWidth="1"/>
    <col min="23" max="23" width="29.28515625" customWidth="1"/>
    <col min="24" max="24" width="27.140625" bestFit="1" customWidth="1"/>
    <col min="25" max="25" width="25.42578125" customWidth="1"/>
    <col min="26" max="26" width="51.85546875" customWidth="1"/>
    <col min="27" max="27" width="20.140625" customWidth="1"/>
    <col min="28" max="43" width="30.28515625" customWidth="1"/>
  </cols>
  <sheetData>
    <row r="1" spans="1:43" ht="31.5" customHeight="1" x14ac:dyDescent="0.2">
      <c r="A1" s="136" t="s">
        <v>32</v>
      </c>
      <c r="B1" s="138" t="s">
        <v>24</v>
      </c>
      <c r="C1" s="140" t="s">
        <v>26</v>
      </c>
      <c r="D1" s="160" t="s">
        <v>23</v>
      </c>
      <c r="E1" s="144" t="s">
        <v>0</v>
      </c>
      <c r="F1" s="132" t="s">
        <v>34</v>
      </c>
      <c r="G1" s="130"/>
      <c r="H1" s="133"/>
      <c r="I1" s="133"/>
      <c r="J1" s="133"/>
      <c r="K1" s="133"/>
      <c r="L1" s="133"/>
      <c r="M1" s="133"/>
      <c r="N1" s="133"/>
      <c r="O1" s="133"/>
      <c r="P1" s="135"/>
      <c r="Q1" s="132" t="s">
        <v>52</v>
      </c>
      <c r="R1" s="130"/>
      <c r="S1" s="133"/>
      <c r="T1" s="133"/>
      <c r="U1" s="133"/>
      <c r="V1" s="133"/>
      <c r="W1" s="133"/>
      <c r="X1" s="133"/>
      <c r="Y1" s="133"/>
      <c r="Z1" s="133"/>
      <c r="AA1" s="134"/>
      <c r="AB1" s="129" t="s">
        <v>51</v>
      </c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1"/>
    </row>
    <row r="2" spans="1:43" s="2" customFormat="1" ht="36" customHeight="1" thickBot="1" x14ac:dyDescent="0.25">
      <c r="A2" s="137"/>
      <c r="B2" s="139"/>
      <c r="C2" s="141"/>
      <c r="D2" s="161"/>
      <c r="E2" s="145"/>
      <c r="F2" s="39" t="s">
        <v>11</v>
      </c>
      <c r="G2" s="40" t="s">
        <v>22</v>
      </c>
      <c r="H2" s="40" t="s">
        <v>12</v>
      </c>
      <c r="I2" s="40" t="s">
        <v>13</v>
      </c>
      <c r="J2" s="40" t="s">
        <v>14</v>
      </c>
      <c r="K2" s="40" t="s">
        <v>15</v>
      </c>
      <c r="L2" s="40" t="s">
        <v>16</v>
      </c>
      <c r="M2" s="40" t="s">
        <v>17</v>
      </c>
      <c r="N2" s="40" t="s">
        <v>18</v>
      </c>
      <c r="O2" s="40" t="s">
        <v>19</v>
      </c>
      <c r="P2" s="43" t="s">
        <v>20</v>
      </c>
      <c r="Q2" s="64" t="s">
        <v>63</v>
      </c>
      <c r="R2" s="65" t="s">
        <v>86</v>
      </c>
      <c r="S2" s="65" t="s">
        <v>84</v>
      </c>
      <c r="T2" s="65" t="s">
        <v>83</v>
      </c>
      <c r="U2" s="65" t="s">
        <v>59</v>
      </c>
      <c r="V2" s="65" t="s">
        <v>82</v>
      </c>
      <c r="W2" s="65" t="s">
        <v>57</v>
      </c>
      <c r="X2" s="65" t="s">
        <v>56</v>
      </c>
      <c r="Y2" s="65" t="s">
        <v>55</v>
      </c>
      <c r="Z2" s="65" t="s">
        <v>81</v>
      </c>
      <c r="AA2" s="66" t="s">
        <v>53</v>
      </c>
      <c r="AB2" s="63" t="s">
        <v>35</v>
      </c>
      <c r="AC2" s="40" t="s">
        <v>36</v>
      </c>
      <c r="AD2" s="40" t="s">
        <v>37</v>
      </c>
      <c r="AE2" s="40" t="s">
        <v>38</v>
      </c>
      <c r="AF2" s="40" t="s">
        <v>39</v>
      </c>
      <c r="AG2" s="40" t="s">
        <v>40</v>
      </c>
      <c r="AH2" s="40" t="s">
        <v>41</v>
      </c>
      <c r="AI2" s="40" t="s">
        <v>42</v>
      </c>
      <c r="AJ2" s="40" t="s">
        <v>43</v>
      </c>
      <c r="AK2" s="40" t="s">
        <v>44</v>
      </c>
      <c r="AL2" s="40" t="s">
        <v>45</v>
      </c>
      <c r="AM2" s="40" t="s">
        <v>46</v>
      </c>
      <c r="AN2" s="40" t="s">
        <v>47</v>
      </c>
      <c r="AO2" s="40" t="s">
        <v>48</v>
      </c>
      <c r="AP2" s="40" t="s">
        <v>49</v>
      </c>
      <c r="AQ2" s="41" t="s">
        <v>50</v>
      </c>
    </row>
    <row r="3" spans="1:43" s="1" customFormat="1" x14ac:dyDescent="0.2">
      <c r="A3" s="26">
        <v>45510.53344756944</v>
      </c>
      <c r="B3" s="27" t="s">
        <v>25</v>
      </c>
      <c r="C3" s="28" t="s">
        <v>27</v>
      </c>
      <c r="D3" s="113">
        <v>2</v>
      </c>
      <c r="E3" s="30" t="s">
        <v>33</v>
      </c>
      <c r="F3" s="42">
        <v>5</v>
      </c>
      <c r="G3" s="29">
        <v>5</v>
      </c>
      <c r="H3" s="29">
        <v>5</v>
      </c>
      <c r="I3" s="29">
        <v>3</v>
      </c>
      <c r="J3" s="29">
        <v>3</v>
      </c>
      <c r="K3" s="29">
        <v>3</v>
      </c>
      <c r="L3" s="29">
        <v>3</v>
      </c>
      <c r="M3" s="29">
        <v>4</v>
      </c>
      <c r="N3" s="29">
        <v>5</v>
      </c>
      <c r="O3" s="29">
        <v>5</v>
      </c>
      <c r="P3" s="30">
        <v>4</v>
      </c>
      <c r="Q3" s="38">
        <v>2</v>
      </c>
      <c r="R3" s="23">
        <v>5</v>
      </c>
      <c r="S3" s="23">
        <v>5</v>
      </c>
      <c r="T3" s="23">
        <v>5</v>
      </c>
      <c r="U3" s="23">
        <v>2</v>
      </c>
      <c r="V3" s="23">
        <v>5</v>
      </c>
      <c r="W3" s="23">
        <v>2</v>
      </c>
      <c r="X3" s="23">
        <v>4</v>
      </c>
      <c r="Y3" s="23">
        <v>4</v>
      </c>
      <c r="Z3" s="23">
        <v>3</v>
      </c>
      <c r="AA3" s="45">
        <v>2</v>
      </c>
      <c r="AB3" s="58" t="s">
        <v>31</v>
      </c>
      <c r="AC3" s="59" t="s">
        <v>31</v>
      </c>
      <c r="AD3" s="59" t="s">
        <v>31</v>
      </c>
      <c r="AE3" s="59" t="s">
        <v>31</v>
      </c>
      <c r="AF3" s="59" t="s">
        <v>31</v>
      </c>
      <c r="AG3" s="59" t="s">
        <v>31</v>
      </c>
      <c r="AH3" s="59" t="s">
        <v>31</v>
      </c>
      <c r="AI3" s="59" t="s">
        <v>31</v>
      </c>
      <c r="AJ3" s="59" t="s">
        <v>31</v>
      </c>
      <c r="AK3" s="59" t="s">
        <v>31</v>
      </c>
      <c r="AL3" s="59" t="s">
        <v>31</v>
      </c>
      <c r="AM3" s="59" t="s">
        <v>31</v>
      </c>
      <c r="AN3" s="59" t="s">
        <v>31</v>
      </c>
      <c r="AO3" s="59" t="s">
        <v>31</v>
      </c>
      <c r="AP3" s="59" t="s">
        <v>31</v>
      </c>
      <c r="AQ3" s="60" t="s">
        <v>31</v>
      </c>
    </row>
    <row r="4" spans="1:43" s="1" customFormat="1" x14ac:dyDescent="0.2">
      <c r="A4" s="8">
        <v>45510.63485425926</v>
      </c>
      <c r="B4" s="9" t="s">
        <v>25</v>
      </c>
      <c r="C4" s="14" t="s">
        <v>28</v>
      </c>
      <c r="D4" s="114">
        <v>8</v>
      </c>
      <c r="E4" s="31" t="s">
        <v>33</v>
      </c>
      <c r="F4" s="35">
        <v>5</v>
      </c>
      <c r="G4" s="5">
        <v>5</v>
      </c>
      <c r="H4" s="5">
        <v>5</v>
      </c>
      <c r="I4" s="5">
        <v>5</v>
      </c>
      <c r="J4" s="5">
        <v>5</v>
      </c>
      <c r="K4" s="5">
        <v>5</v>
      </c>
      <c r="L4" s="5">
        <v>5</v>
      </c>
      <c r="M4" s="5">
        <v>5</v>
      </c>
      <c r="N4" s="5">
        <v>5</v>
      </c>
      <c r="O4" s="5">
        <v>5</v>
      </c>
      <c r="P4" s="31">
        <v>5</v>
      </c>
      <c r="Q4" s="35">
        <v>4</v>
      </c>
      <c r="R4" s="5">
        <v>4</v>
      </c>
      <c r="S4" s="5">
        <v>4</v>
      </c>
      <c r="T4" s="5">
        <v>4</v>
      </c>
      <c r="U4" s="5">
        <v>4</v>
      </c>
      <c r="V4" s="5">
        <v>4</v>
      </c>
      <c r="W4" s="5">
        <v>4</v>
      </c>
      <c r="X4" s="5">
        <v>4</v>
      </c>
      <c r="Y4" s="5">
        <v>4</v>
      </c>
      <c r="Z4" s="5">
        <v>4</v>
      </c>
      <c r="AA4" s="31">
        <v>4</v>
      </c>
      <c r="AB4" s="49" t="s">
        <v>31</v>
      </c>
      <c r="AC4" s="6" t="s">
        <v>31</v>
      </c>
      <c r="AD4" s="6" t="s">
        <v>31</v>
      </c>
      <c r="AE4" s="6" t="s">
        <v>31</v>
      </c>
      <c r="AF4" s="6" t="s">
        <v>31</v>
      </c>
      <c r="AG4" s="6" t="s">
        <v>31</v>
      </c>
      <c r="AH4" s="6" t="s">
        <v>31</v>
      </c>
      <c r="AI4" s="6" t="s">
        <v>31</v>
      </c>
      <c r="AJ4" s="6" t="s">
        <v>31</v>
      </c>
      <c r="AK4" s="6" t="s">
        <v>31</v>
      </c>
      <c r="AL4" s="6" t="s">
        <v>31</v>
      </c>
      <c r="AM4" s="6" t="s">
        <v>31</v>
      </c>
      <c r="AN4" s="6" t="s">
        <v>31</v>
      </c>
      <c r="AO4" s="6" t="s">
        <v>31</v>
      </c>
      <c r="AP4" s="6" t="s">
        <v>31</v>
      </c>
      <c r="AQ4" s="15" t="s">
        <v>31</v>
      </c>
    </row>
    <row r="5" spans="1:43" s="1" customFormat="1" x14ac:dyDescent="0.2">
      <c r="A5" s="8">
        <v>45510.639825902777</v>
      </c>
      <c r="B5" s="9" t="s">
        <v>25</v>
      </c>
      <c r="C5" s="14" t="s">
        <v>28</v>
      </c>
      <c r="D5" s="114">
        <v>7</v>
      </c>
      <c r="E5" s="31" t="s">
        <v>33</v>
      </c>
      <c r="F5" s="35">
        <v>5</v>
      </c>
      <c r="G5" s="5">
        <v>5</v>
      </c>
      <c r="H5" s="5">
        <v>5</v>
      </c>
      <c r="I5" s="5">
        <v>5</v>
      </c>
      <c r="J5" s="5">
        <v>5</v>
      </c>
      <c r="K5" s="5">
        <v>5</v>
      </c>
      <c r="L5" s="5">
        <v>4</v>
      </c>
      <c r="M5" s="5">
        <v>4</v>
      </c>
      <c r="N5" s="5">
        <v>4</v>
      </c>
      <c r="O5" s="5">
        <v>5</v>
      </c>
      <c r="P5" s="31">
        <v>4</v>
      </c>
      <c r="Q5" s="35">
        <v>3</v>
      </c>
      <c r="R5" s="5">
        <v>4</v>
      </c>
      <c r="S5" s="5">
        <v>4</v>
      </c>
      <c r="T5" s="5">
        <v>5</v>
      </c>
      <c r="U5" s="5">
        <v>3</v>
      </c>
      <c r="V5" s="5">
        <v>4</v>
      </c>
      <c r="W5" s="5">
        <v>3</v>
      </c>
      <c r="X5" s="5">
        <v>4</v>
      </c>
      <c r="Y5" s="5">
        <v>4</v>
      </c>
      <c r="Z5" s="5">
        <v>4</v>
      </c>
      <c r="AA5" s="31">
        <v>4</v>
      </c>
      <c r="AB5" s="49" t="s">
        <v>31</v>
      </c>
      <c r="AC5" s="6" t="s">
        <v>31</v>
      </c>
      <c r="AD5" s="6" t="s">
        <v>31</v>
      </c>
      <c r="AE5" s="6" t="s">
        <v>31</v>
      </c>
      <c r="AF5" s="6" t="s">
        <v>31</v>
      </c>
      <c r="AG5" s="6" t="s">
        <v>31</v>
      </c>
      <c r="AH5" s="6" t="s">
        <v>31</v>
      </c>
      <c r="AI5" s="6" t="s">
        <v>31</v>
      </c>
      <c r="AJ5" s="6" t="s">
        <v>31</v>
      </c>
      <c r="AK5" s="6" t="s">
        <v>31</v>
      </c>
      <c r="AL5" s="6" t="s">
        <v>31</v>
      </c>
      <c r="AM5" s="6" t="s">
        <v>31</v>
      </c>
      <c r="AN5" s="6" t="s">
        <v>31</v>
      </c>
      <c r="AO5" s="6" t="s">
        <v>31</v>
      </c>
      <c r="AP5" s="6" t="s">
        <v>31</v>
      </c>
      <c r="AQ5" s="15" t="s">
        <v>31</v>
      </c>
    </row>
    <row r="6" spans="1:43" s="1" customFormat="1" x14ac:dyDescent="0.2">
      <c r="A6" s="8">
        <v>45511.57303890046</v>
      </c>
      <c r="B6" s="9" t="s">
        <v>25</v>
      </c>
      <c r="C6" s="14" t="s">
        <v>28</v>
      </c>
      <c r="D6" s="114">
        <v>4</v>
      </c>
      <c r="E6" s="31" t="s">
        <v>33</v>
      </c>
      <c r="F6" s="35">
        <v>3</v>
      </c>
      <c r="G6" s="5">
        <v>5</v>
      </c>
      <c r="H6" s="5">
        <v>5</v>
      </c>
      <c r="I6" s="5">
        <v>5</v>
      </c>
      <c r="J6" s="5">
        <v>5</v>
      </c>
      <c r="K6" s="5">
        <v>3</v>
      </c>
      <c r="L6" s="5">
        <v>3</v>
      </c>
      <c r="M6" s="5">
        <v>4</v>
      </c>
      <c r="N6" s="5">
        <v>5</v>
      </c>
      <c r="O6" s="5">
        <v>5</v>
      </c>
      <c r="P6" s="31">
        <v>4</v>
      </c>
      <c r="Q6" s="35">
        <v>3</v>
      </c>
      <c r="R6" s="5">
        <v>4</v>
      </c>
      <c r="S6" s="5">
        <v>5</v>
      </c>
      <c r="T6" s="5">
        <v>5</v>
      </c>
      <c r="U6" s="5">
        <v>5</v>
      </c>
      <c r="V6" s="5">
        <v>5</v>
      </c>
      <c r="W6" s="5">
        <v>5</v>
      </c>
      <c r="X6" s="5">
        <v>3</v>
      </c>
      <c r="Y6" s="5">
        <v>4</v>
      </c>
      <c r="Z6" s="5">
        <v>5</v>
      </c>
      <c r="AA6" s="31">
        <v>5</v>
      </c>
      <c r="AB6" s="49" t="s">
        <v>31</v>
      </c>
      <c r="AC6" s="6" t="s">
        <v>31</v>
      </c>
      <c r="AD6" s="6" t="s">
        <v>31</v>
      </c>
      <c r="AE6" s="6" t="s">
        <v>31</v>
      </c>
      <c r="AF6" s="6" t="s">
        <v>31</v>
      </c>
      <c r="AG6" s="6" t="s">
        <v>31</v>
      </c>
      <c r="AH6" s="6" t="s">
        <v>31</v>
      </c>
      <c r="AI6" s="6" t="s">
        <v>31</v>
      </c>
      <c r="AJ6" s="6" t="s">
        <v>31</v>
      </c>
      <c r="AK6" s="6" t="s">
        <v>31</v>
      </c>
      <c r="AL6" s="6" t="s">
        <v>31</v>
      </c>
      <c r="AM6" s="6" t="s">
        <v>31</v>
      </c>
      <c r="AN6" s="6" t="s">
        <v>31</v>
      </c>
      <c r="AO6" s="6" t="s">
        <v>31</v>
      </c>
      <c r="AP6" s="6" t="s">
        <v>31</v>
      </c>
      <c r="AQ6" s="15" t="s">
        <v>31</v>
      </c>
    </row>
    <row r="7" spans="1:43" s="1" customFormat="1" x14ac:dyDescent="0.2">
      <c r="A7" s="8">
        <v>45512.348448888893</v>
      </c>
      <c r="B7" s="9" t="s">
        <v>25</v>
      </c>
      <c r="C7" s="14" t="s">
        <v>27</v>
      </c>
      <c r="D7" s="114">
        <v>3</v>
      </c>
      <c r="E7" s="31" t="s">
        <v>33</v>
      </c>
      <c r="F7" s="35">
        <v>5</v>
      </c>
      <c r="G7" s="5">
        <v>4</v>
      </c>
      <c r="H7" s="5">
        <v>4</v>
      </c>
      <c r="I7" s="5">
        <v>4</v>
      </c>
      <c r="J7" s="5">
        <v>4</v>
      </c>
      <c r="K7" s="5">
        <v>4</v>
      </c>
      <c r="L7" s="5">
        <v>4</v>
      </c>
      <c r="M7" s="5">
        <v>3</v>
      </c>
      <c r="N7" s="5">
        <v>4</v>
      </c>
      <c r="O7" s="5">
        <v>3</v>
      </c>
      <c r="P7" s="31">
        <v>4</v>
      </c>
      <c r="Q7" s="35">
        <v>5</v>
      </c>
      <c r="R7" s="5">
        <v>5</v>
      </c>
      <c r="S7" s="5">
        <v>5</v>
      </c>
      <c r="T7" s="5">
        <v>2</v>
      </c>
      <c r="U7" s="5">
        <v>2</v>
      </c>
      <c r="V7" s="5">
        <v>5</v>
      </c>
      <c r="W7" s="5">
        <v>2</v>
      </c>
      <c r="X7" s="5">
        <v>5</v>
      </c>
      <c r="Y7" s="5">
        <v>5</v>
      </c>
      <c r="Z7" s="5">
        <v>4</v>
      </c>
      <c r="AA7" s="31">
        <v>2</v>
      </c>
      <c r="AB7" s="49" t="s">
        <v>31</v>
      </c>
      <c r="AC7" s="6" t="s">
        <v>31</v>
      </c>
      <c r="AD7" s="6" t="s">
        <v>31</v>
      </c>
      <c r="AE7" s="6" t="s">
        <v>31</v>
      </c>
      <c r="AF7" s="6" t="s">
        <v>31</v>
      </c>
      <c r="AG7" s="6" t="s">
        <v>31</v>
      </c>
      <c r="AH7" s="6" t="s">
        <v>31</v>
      </c>
      <c r="AI7" s="6" t="s">
        <v>31</v>
      </c>
      <c r="AJ7" s="6" t="s">
        <v>31</v>
      </c>
      <c r="AK7" s="6" t="s">
        <v>31</v>
      </c>
      <c r="AL7" s="6" t="s">
        <v>31</v>
      </c>
      <c r="AM7" s="6" t="s">
        <v>31</v>
      </c>
      <c r="AN7" s="6" t="s">
        <v>31</v>
      </c>
      <c r="AO7" s="6" t="s">
        <v>31</v>
      </c>
      <c r="AP7" s="6" t="s">
        <v>31</v>
      </c>
      <c r="AQ7" s="15" t="s">
        <v>31</v>
      </c>
    </row>
    <row r="8" spans="1:43" s="1" customFormat="1" x14ac:dyDescent="0.2">
      <c r="A8" s="8">
        <v>45512.369715520836</v>
      </c>
      <c r="B8" s="9" t="s">
        <v>25</v>
      </c>
      <c r="C8" s="14" t="s">
        <v>28</v>
      </c>
      <c r="D8" s="114">
        <v>2</v>
      </c>
      <c r="E8" s="31" t="s">
        <v>33</v>
      </c>
      <c r="F8" s="35">
        <v>5</v>
      </c>
      <c r="G8" s="5">
        <v>5</v>
      </c>
      <c r="H8" s="5">
        <v>5</v>
      </c>
      <c r="I8" s="5">
        <v>5</v>
      </c>
      <c r="J8" s="5">
        <v>5</v>
      </c>
      <c r="K8" s="5">
        <v>5</v>
      </c>
      <c r="L8" s="5">
        <v>5</v>
      </c>
      <c r="M8" s="5">
        <v>5</v>
      </c>
      <c r="N8" s="5">
        <v>5</v>
      </c>
      <c r="O8" s="5">
        <v>5</v>
      </c>
      <c r="P8" s="31">
        <v>5</v>
      </c>
      <c r="Q8" s="35">
        <v>5</v>
      </c>
      <c r="R8" s="5">
        <v>4</v>
      </c>
      <c r="S8" s="5">
        <v>4</v>
      </c>
      <c r="T8" s="5">
        <v>5</v>
      </c>
      <c r="U8" s="5">
        <v>5</v>
      </c>
      <c r="V8" s="5">
        <v>4</v>
      </c>
      <c r="W8" s="5">
        <v>5</v>
      </c>
      <c r="X8" s="5">
        <v>5</v>
      </c>
      <c r="Y8" s="5">
        <v>5</v>
      </c>
      <c r="Z8" s="5">
        <v>3</v>
      </c>
      <c r="AA8" s="31">
        <v>5</v>
      </c>
      <c r="AB8" s="49" t="s">
        <v>31</v>
      </c>
      <c r="AC8" s="6" t="s">
        <v>31</v>
      </c>
      <c r="AD8" s="6" t="s">
        <v>31</v>
      </c>
      <c r="AE8" s="6" t="s">
        <v>31</v>
      </c>
      <c r="AF8" s="6" t="s">
        <v>31</v>
      </c>
      <c r="AG8" s="6" t="s">
        <v>31</v>
      </c>
      <c r="AH8" s="6" t="s">
        <v>31</v>
      </c>
      <c r="AI8" s="6" t="s">
        <v>31</v>
      </c>
      <c r="AJ8" s="6" t="s">
        <v>31</v>
      </c>
      <c r="AK8" s="6" t="s">
        <v>31</v>
      </c>
      <c r="AL8" s="6" t="s">
        <v>31</v>
      </c>
      <c r="AM8" s="6" t="s">
        <v>31</v>
      </c>
      <c r="AN8" s="6" t="s">
        <v>31</v>
      </c>
      <c r="AO8" s="6" t="s">
        <v>31</v>
      </c>
      <c r="AP8" s="6" t="s">
        <v>31</v>
      </c>
      <c r="AQ8" s="15" t="s">
        <v>31</v>
      </c>
    </row>
    <row r="9" spans="1:43" s="1" customFormat="1" x14ac:dyDescent="0.2">
      <c r="A9" s="8">
        <v>45512.442394525468</v>
      </c>
      <c r="B9" s="9" t="s">
        <v>25</v>
      </c>
      <c r="C9" s="14" t="s">
        <v>28</v>
      </c>
      <c r="D9" s="114">
        <v>30</v>
      </c>
      <c r="E9" s="31" t="s">
        <v>5</v>
      </c>
      <c r="F9" s="35">
        <v>4</v>
      </c>
      <c r="G9" s="5">
        <v>5</v>
      </c>
      <c r="H9" s="5">
        <v>5</v>
      </c>
      <c r="I9" s="5">
        <v>5</v>
      </c>
      <c r="J9" s="5">
        <v>5</v>
      </c>
      <c r="K9" s="5">
        <v>4</v>
      </c>
      <c r="L9" s="5">
        <v>4</v>
      </c>
      <c r="M9" s="5">
        <v>4</v>
      </c>
      <c r="N9" s="5">
        <v>4</v>
      </c>
      <c r="O9" s="5">
        <v>5</v>
      </c>
      <c r="P9" s="31">
        <v>5</v>
      </c>
      <c r="Q9" s="35">
        <v>4</v>
      </c>
      <c r="R9" s="5">
        <v>3</v>
      </c>
      <c r="S9" s="5">
        <v>4</v>
      </c>
      <c r="T9" s="5">
        <v>3</v>
      </c>
      <c r="U9" s="5">
        <v>3</v>
      </c>
      <c r="V9" s="5">
        <v>4</v>
      </c>
      <c r="W9" s="5">
        <v>3</v>
      </c>
      <c r="X9" s="5">
        <v>3</v>
      </c>
      <c r="Y9" s="5">
        <v>4</v>
      </c>
      <c r="Z9" s="5">
        <v>4</v>
      </c>
      <c r="AA9" s="31">
        <v>5</v>
      </c>
      <c r="AB9" s="49" t="s">
        <v>31</v>
      </c>
      <c r="AC9" s="6" t="s">
        <v>31</v>
      </c>
      <c r="AD9" s="6" t="s">
        <v>31</v>
      </c>
      <c r="AE9" s="6" t="s">
        <v>31</v>
      </c>
      <c r="AF9" s="6" t="s">
        <v>31</v>
      </c>
      <c r="AG9" s="6" t="s">
        <v>31</v>
      </c>
      <c r="AH9" s="6" t="s">
        <v>31</v>
      </c>
      <c r="AI9" s="6" t="s">
        <v>31</v>
      </c>
      <c r="AJ9" s="6" t="s">
        <v>31</v>
      </c>
      <c r="AK9" s="6" t="s">
        <v>31</v>
      </c>
      <c r="AL9" s="6" t="s">
        <v>31</v>
      </c>
      <c r="AM9" s="6" t="s">
        <v>31</v>
      </c>
      <c r="AN9" s="6" t="s">
        <v>31</v>
      </c>
      <c r="AO9" s="6" t="s">
        <v>31</v>
      </c>
      <c r="AP9" s="6" t="s">
        <v>31</v>
      </c>
      <c r="AQ9" s="15" t="s">
        <v>31</v>
      </c>
    </row>
    <row r="10" spans="1:43" s="1" customFormat="1" x14ac:dyDescent="0.2">
      <c r="A10" s="8">
        <v>45512.444388692129</v>
      </c>
      <c r="B10" s="9" t="s">
        <v>25</v>
      </c>
      <c r="C10" s="14" t="s">
        <v>28</v>
      </c>
      <c r="D10" s="114">
        <v>13</v>
      </c>
      <c r="E10" s="31" t="s">
        <v>33</v>
      </c>
      <c r="F10" s="35">
        <v>4</v>
      </c>
      <c r="G10" s="5">
        <v>5</v>
      </c>
      <c r="H10" s="5">
        <v>5</v>
      </c>
      <c r="I10" s="5">
        <v>4</v>
      </c>
      <c r="J10" s="5">
        <v>4</v>
      </c>
      <c r="K10" s="5">
        <v>4</v>
      </c>
      <c r="L10" s="5">
        <v>4</v>
      </c>
      <c r="M10" s="5">
        <v>4</v>
      </c>
      <c r="N10" s="5">
        <v>4</v>
      </c>
      <c r="O10" s="5">
        <v>4</v>
      </c>
      <c r="P10" s="31">
        <v>4</v>
      </c>
      <c r="Q10" s="35">
        <v>4</v>
      </c>
      <c r="R10" s="5">
        <v>5</v>
      </c>
      <c r="S10" s="5">
        <v>4</v>
      </c>
      <c r="T10" s="5">
        <v>2</v>
      </c>
      <c r="U10" s="5">
        <v>4</v>
      </c>
      <c r="V10" s="5">
        <v>4</v>
      </c>
      <c r="W10" s="5">
        <v>3</v>
      </c>
      <c r="X10" s="5">
        <v>3</v>
      </c>
      <c r="Y10" s="5">
        <v>4</v>
      </c>
      <c r="Z10" s="5">
        <v>2</v>
      </c>
      <c r="AA10" s="31">
        <v>5</v>
      </c>
      <c r="AB10" s="49" t="s">
        <v>31</v>
      </c>
      <c r="AC10" s="6" t="s">
        <v>31</v>
      </c>
      <c r="AD10" s="6" t="s">
        <v>31</v>
      </c>
      <c r="AE10" s="6" t="s">
        <v>31</v>
      </c>
      <c r="AF10" s="6" t="s">
        <v>31</v>
      </c>
      <c r="AG10" s="6" t="s">
        <v>31</v>
      </c>
      <c r="AH10" s="6" t="s">
        <v>31</v>
      </c>
      <c r="AI10" s="6" t="s">
        <v>31</v>
      </c>
      <c r="AJ10" s="6" t="s">
        <v>31</v>
      </c>
      <c r="AK10" s="6" t="s">
        <v>31</v>
      </c>
      <c r="AL10" s="6" t="s">
        <v>31</v>
      </c>
      <c r="AM10" s="6" t="s">
        <v>31</v>
      </c>
      <c r="AN10" s="6" t="s">
        <v>31</v>
      </c>
      <c r="AO10" s="6" t="s">
        <v>31</v>
      </c>
      <c r="AP10" s="6" t="s">
        <v>31</v>
      </c>
      <c r="AQ10" s="15" t="s">
        <v>31</v>
      </c>
    </row>
    <row r="11" spans="1:43" s="1" customFormat="1" x14ac:dyDescent="0.2">
      <c r="A11" s="8">
        <v>45512.717966550925</v>
      </c>
      <c r="B11" s="9" t="s">
        <v>25</v>
      </c>
      <c r="C11" s="14" t="s">
        <v>29</v>
      </c>
      <c r="D11" s="114">
        <v>25</v>
      </c>
      <c r="E11" s="31" t="s">
        <v>6</v>
      </c>
      <c r="F11" s="35">
        <v>5</v>
      </c>
      <c r="G11" s="5">
        <v>5</v>
      </c>
      <c r="H11" s="5">
        <v>5</v>
      </c>
      <c r="I11" s="5">
        <v>5</v>
      </c>
      <c r="J11" s="5">
        <v>5</v>
      </c>
      <c r="K11" s="5">
        <v>4</v>
      </c>
      <c r="L11" s="5">
        <v>4</v>
      </c>
      <c r="M11" s="5">
        <v>4</v>
      </c>
      <c r="N11" s="5">
        <v>5</v>
      </c>
      <c r="O11" s="5">
        <v>5</v>
      </c>
      <c r="P11" s="31">
        <v>5</v>
      </c>
      <c r="Q11" s="35">
        <v>3</v>
      </c>
      <c r="R11" s="5">
        <v>2</v>
      </c>
      <c r="S11" s="5">
        <v>4</v>
      </c>
      <c r="T11" s="5">
        <v>4</v>
      </c>
      <c r="U11" s="5">
        <v>4</v>
      </c>
      <c r="V11" s="5">
        <v>4</v>
      </c>
      <c r="W11" s="5">
        <v>3</v>
      </c>
      <c r="X11" s="5">
        <v>3</v>
      </c>
      <c r="Y11" s="5">
        <v>4</v>
      </c>
      <c r="Z11" s="5">
        <v>2</v>
      </c>
      <c r="AA11" s="31">
        <v>2</v>
      </c>
      <c r="AB11" s="49" t="s">
        <v>31</v>
      </c>
      <c r="AC11" s="6" t="s">
        <v>31</v>
      </c>
      <c r="AD11" s="6" t="s">
        <v>31</v>
      </c>
      <c r="AE11" s="6" t="s">
        <v>31</v>
      </c>
      <c r="AF11" s="6" t="s">
        <v>31</v>
      </c>
      <c r="AG11" s="6" t="s">
        <v>31</v>
      </c>
      <c r="AH11" s="6" t="s">
        <v>31</v>
      </c>
      <c r="AI11" s="6" t="s">
        <v>31</v>
      </c>
      <c r="AJ11" s="6" t="s">
        <v>31</v>
      </c>
      <c r="AK11" s="6" t="s">
        <v>31</v>
      </c>
      <c r="AL11" s="6" t="s">
        <v>31</v>
      </c>
      <c r="AM11" s="6" t="s">
        <v>31</v>
      </c>
      <c r="AN11" s="6" t="s">
        <v>31</v>
      </c>
      <c r="AO11" s="6" t="s">
        <v>31</v>
      </c>
      <c r="AP11" s="6" t="s">
        <v>31</v>
      </c>
      <c r="AQ11" s="15" t="s">
        <v>31</v>
      </c>
    </row>
    <row r="12" spans="1:43" s="1" customFormat="1" x14ac:dyDescent="0.2">
      <c r="A12" s="10">
        <v>45514</v>
      </c>
      <c r="B12" s="11" t="s">
        <v>25</v>
      </c>
      <c r="C12" s="14" t="s">
        <v>28</v>
      </c>
      <c r="D12" s="114">
        <v>2</v>
      </c>
      <c r="E12" s="32" t="s">
        <v>33</v>
      </c>
      <c r="F12" s="35">
        <v>4</v>
      </c>
      <c r="G12" s="5">
        <v>4</v>
      </c>
      <c r="H12" s="5">
        <v>4</v>
      </c>
      <c r="I12" s="5">
        <v>4</v>
      </c>
      <c r="J12" s="5">
        <v>4</v>
      </c>
      <c r="K12" s="5">
        <v>4</v>
      </c>
      <c r="L12" s="5">
        <v>3</v>
      </c>
      <c r="M12" s="5">
        <v>3</v>
      </c>
      <c r="N12" s="5">
        <v>3</v>
      </c>
      <c r="O12" s="5">
        <v>4</v>
      </c>
      <c r="P12" s="31">
        <v>4</v>
      </c>
      <c r="Q12" s="35">
        <v>5</v>
      </c>
      <c r="R12" s="5">
        <v>3</v>
      </c>
      <c r="S12" s="5">
        <v>5</v>
      </c>
      <c r="T12" s="5">
        <v>3</v>
      </c>
      <c r="U12" s="5">
        <v>5</v>
      </c>
      <c r="V12" s="5">
        <v>5</v>
      </c>
      <c r="W12" s="5">
        <v>5</v>
      </c>
      <c r="X12" s="5">
        <v>5</v>
      </c>
      <c r="Y12" s="5">
        <v>5</v>
      </c>
      <c r="Z12" s="5">
        <v>3</v>
      </c>
      <c r="AA12" s="31">
        <v>5</v>
      </c>
      <c r="AB12" s="49" t="s">
        <v>31</v>
      </c>
      <c r="AC12" s="6" t="s">
        <v>31</v>
      </c>
      <c r="AD12" s="6" t="s">
        <v>31</v>
      </c>
      <c r="AE12" s="6" t="s">
        <v>31</v>
      </c>
      <c r="AF12" s="6" t="s">
        <v>31</v>
      </c>
      <c r="AG12" s="6" t="s">
        <v>31</v>
      </c>
      <c r="AH12" s="6" t="s">
        <v>31</v>
      </c>
      <c r="AI12" s="6" t="s">
        <v>31</v>
      </c>
      <c r="AJ12" s="6" t="s">
        <v>31</v>
      </c>
      <c r="AK12" s="6" t="s">
        <v>31</v>
      </c>
      <c r="AL12" s="6" t="s">
        <v>31</v>
      </c>
      <c r="AM12" s="6" t="s">
        <v>31</v>
      </c>
      <c r="AN12" s="6" t="s">
        <v>31</v>
      </c>
      <c r="AO12" s="6" t="s">
        <v>31</v>
      </c>
      <c r="AP12" s="6" t="s">
        <v>31</v>
      </c>
      <c r="AQ12" s="15" t="s">
        <v>31</v>
      </c>
    </row>
    <row r="13" spans="1:43" s="1" customFormat="1" x14ac:dyDescent="0.2">
      <c r="A13" s="8">
        <v>45516.89024695602</v>
      </c>
      <c r="B13" s="9" t="s">
        <v>25</v>
      </c>
      <c r="C13" s="14" t="s">
        <v>28</v>
      </c>
      <c r="D13" s="114">
        <v>2</v>
      </c>
      <c r="E13" s="31" t="s">
        <v>33</v>
      </c>
      <c r="F13" s="35">
        <v>5</v>
      </c>
      <c r="G13" s="5">
        <v>5</v>
      </c>
      <c r="H13" s="5">
        <v>5</v>
      </c>
      <c r="I13" s="5">
        <v>5</v>
      </c>
      <c r="J13" s="5">
        <v>5</v>
      </c>
      <c r="K13" s="5">
        <v>5</v>
      </c>
      <c r="L13" s="5">
        <v>5</v>
      </c>
      <c r="M13" s="5">
        <v>5</v>
      </c>
      <c r="N13" s="5">
        <v>5</v>
      </c>
      <c r="O13" s="5">
        <v>5</v>
      </c>
      <c r="P13" s="31">
        <v>5</v>
      </c>
      <c r="Q13" s="35">
        <v>5</v>
      </c>
      <c r="R13" s="5">
        <v>2</v>
      </c>
      <c r="S13" s="5">
        <v>4</v>
      </c>
      <c r="T13" s="5">
        <v>5</v>
      </c>
      <c r="U13" s="5">
        <v>5</v>
      </c>
      <c r="V13" s="5">
        <v>4</v>
      </c>
      <c r="W13" s="5">
        <v>4</v>
      </c>
      <c r="X13" s="5">
        <v>4</v>
      </c>
      <c r="Y13" s="5">
        <v>5</v>
      </c>
      <c r="Z13" s="5">
        <v>4</v>
      </c>
      <c r="AA13" s="31">
        <v>5</v>
      </c>
      <c r="AB13" s="49" t="s">
        <v>31</v>
      </c>
      <c r="AC13" s="6" t="s">
        <v>31</v>
      </c>
      <c r="AD13" s="6" t="s">
        <v>31</v>
      </c>
      <c r="AE13" s="6" t="s">
        <v>31</v>
      </c>
      <c r="AF13" s="6" t="s">
        <v>31</v>
      </c>
      <c r="AG13" s="6" t="s">
        <v>31</v>
      </c>
      <c r="AH13" s="6" t="s">
        <v>31</v>
      </c>
      <c r="AI13" s="6" t="s">
        <v>31</v>
      </c>
      <c r="AJ13" s="6" t="s">
        <v>31</v>
      </c>
      <c r="AK13" s="6" t="s">
        <v>31</v>
      </c>
      <c r="AL13" s="6" t="s">
        <v>31</v>
      </c>
      <c r="AM13" s="6" t="s">
        <v>31</v>
      </c>
      <c r="AN13" s="6" t="s">
        <v>31</v>
      </c>
      <c r="AO13" s="6" t="s">
        <v>31</v>
      </c>
      <c r="AP13" s="6" t="s">
        <v>31</v>
      </c>
      <c r="AQ13" s="15" t="s">
        <v>31</v>
      </c>
    </row>
    <row r="14" spans="1:43" s="1" customFormat="1" ht="13.5" thickBot="1" x14ac:dyDescent="0.25">
      <c r="A14" s="12">
        <v>45520</v>
      </c>
      <c r="B14" s="24" t="s">
        <v>25</v>
      </c>
      <c r="C14" s="25" t="s">
        <v>28</v>
      </c>
      <c r="D14" s="18">
        <v>12</v>
      </c>
      <c r="E14" s="33" t="s">
        <v>6</v>
      </c>
      <c r="F14" s="36">
        <v>4</v>
      </c>
      <c r="G14" s="37">
        <v>5</v>
      </c>
      <c r="H14" s="37">
        <v>5</v>
      </c>
      <c r="I14" s="37">
        <v>5</v>
      </c>
      <c r="J14" s="37">
        <v>5</v>
      </c>
      <c r="K14" s="37">
        <v>5</v>
      </c>
      <c r="L14" s="37">
        <v>4</v>
      </c>
      <c r="M14" s="37">
        <v>4</v>
      </c>
      <c r="N14" s="37">
        <v>4</v>
      </c>
      <c r="O14" s="37">
        <v>5</v>
      </c>
      <c r="P14" s="44">
        <v>5</v>
      </c>
      <c r="Q14" s="36">
        <v>4</v>
      </c>
      <c r="R14" s="37">
        <v>5</v>
      </c>
      <c r="S14" s="37">
        <v>5</v>
      </c>
      <c r="T14" s="37">
        <v>3</v>
      </c>
      <c r="U14" s="37">
        <v>3</v>
      </c>
      <c r="V14" s="37">
        <v>4</v>
      </c>
      <c r="W14" s="37">
        <v>3</v>
      </c>
      <c r="X14" s="37">
        <v>3</v>
      </c>
      <c r="Y14" s="37">
        <v>4</v>
      </c>
      <c r="Z14" s="37">
        <v>5</v>
      </c>
      <c r="AA14" s="44">
        <v>5</v>
      </c>
      <c r="AB14" s="61" t="s">
        <v>31</v>
      </c>
      <c r="AC14" s="62" t="s">
        <v>31</v>
      </c>
      <c r="AD14" s="62" t="s">
        <v>31</v>
      </c>
      <c r="AE14" s="62" t="s">
        <v>31</v>
      </c>
      <c r="AF14" s="62" t="s">
        <v>31</v>
      </c>
      <c r="AG14" s="62" t="s">
        <v>31</v>
      </c>
      <c r="AH14" s="62" t="s">
        <v>31</v>
      </c>
      <c r="AI14" s="62" t="s">
        <v>31</v>
      </c>
      <c r="AJ14" s="62" t="s">
        <v>31</v>
      </c>
      <c r="AK14" s="62" t="s">
        <v>31</v>
      </c>
      <c r="AL14" s="62" t="s">
        <v>31</v>
      </c>
      <c r="AM14" s="62" t="s">
        <v>31</v>
      </c>
      <c r="AN14" s="62" t="s">
        <v>31</v>
      </c>
      <c r="AO14" s="62" t="s">
        <v>31</v>
      </c>
      <c r="AP14" s="62" t="s">
        <v>31</v>
      </c>
      <c r="AQ14" s="19" t="s">
        <v>31</v>
      </c>
    </row>
    <row r="15" spans="1:43" s="1" customFormat="1" x14ac:dyDescent="0.2">
      <c r="A15" s="20">
        <v>45525</v>
      </c>
      <c r="B15" s="21" t="s">
        <v>30</v>
      </c>
      <c r="C15" s="22" t="s">
        <v>27</v>
      </c>
      <c r="D15" s="115">
        <v>9</v>
      </c>
      <c r="E15" s="34" t="s">
        <v>33</v>
      </c>
      <c r="F15" s="38">
        <v>3</v>
      </c>
      <c r="G15" s="23">
        <v>5</v>
      </c>
      <c r="H15" s="23">
        <v>4</v>
      </c>
      <c r="I15" s="23">
        <v>4</v>
      </c>
      <c r="J15" s="23">
        <v>4</v>
      </c>
      <c r="K15" s="23">
        <v>3</v>
      </c>
      <c r="L15" s="23">
        <v>3</v>
      </c>
      <c r="M15" s="23">
        <v>3</v>
      </c>
      <c r="N15" s="23">
        <v>3</v>
      </c>
      <c r="O15" s="23">
        <v>4</v>
      </c>
      <c r="P15" s="45">
        <v>4</v>
      </c>
      <c r="Q15" s="38">
        <v>5</v>
      </c>
      <c r="R15" s="23">
        <v>5</v>
      </c>
      <c r="S15" s="23">
        <v>3</v>
      </c>
      <c r="T15" s="23">
        <v>4</v>
      </c>
      <c r="U15" s="23">
        <v>2</v>
      </c>
      <c r="V15" s="23">
        <v>3</v>
      </c>
      <c r="W15" s="23">
        <v>4</v>
      </c>
      <c r="X15" s="23">
        <v>3</v>
      </c>
      <c r="Y15" s="23">
        <v>5</v>
      </c>
      <c r="Z15" s="23">
        <v>3</v>
      </c>
      <c r="AA15" s="45">
        <v>5</v>
      </c>
      <c r="AB15" s="55">
        <v>3</v>
      </c>
      <c r="AC15" s="56">
        <v>4</v>
      </c>
      <c r="AD15" s="56">
        <v>3</v>
      </c>
      <c r="AE15" s="56">
        <v>3</v>
      </c>
      <c r="AF15" s="56">
        <v>3</v>
      </c>
      <c r="AG15" s="56">
        <v>4</v>
      </c>
      <c r="AH15" s="56">
        <v>3</v>
      </c>
      <c r="AI15" s="56">
        <v>4</v>
      </c>
      <c r="AJ15" s="56">
        <v>5</v>
      </c>
      <c r="AK15" s="56">
        <v>3</v>
      </c>
      <c r="AL15" s="56">
        <v>4</v>
      </c>
      <c r="AM15" s="56">
        <v>4</v>
      </c>
      <c r="AN15" s="56">
        <v>3</v>
      </c>
      <c r="AO15" s="56">
        <v>4</v>
      </c>
      <c r="AP15" s="56">
        <v>3</v>
      </c>
      <c r="AQ15" s="57">
        <v>4</v>
      </c>
    </row>
    <row r="16" spans="1:43" s="1" customFormat="1" x14ac:dyDescent="0.2">
      <c r="A16" s="8">
        <v>45526</v>
      </c>
      <c r="B16" s="11" t="s">
        <v>30</v>
      </c>
      <c r="C16" s="16" t="s">
        <v>27</v>
      </c>
      <c r="D16" s="114">
        <v>13</v>
      </c>
      <c r="E16" s="32" t="s">
        <v>33</v>
      </c>
      <c r="F16" s="35">
        <v>5</v>
      </c>
      <c r="G16" s="5">
        <v>5</v>
      </c>
      <c r="H16" s="5">
        <v>5</v>
      </c>
      <c r="I16" s="5">
        <v>5</v>
      </c>
      <c r="J16" s="5">
        <v>5</v>
      </c>
      <c r="K16" s="5">
        <v>5</v>
      </c>
      <c r="L16" s="5">
        <v>5</v>
      </c>
      <c r="M16" s="5">
        <v>4</v>
      </c>
      <c r="N16" s="5">
        <v>3</v>
      </c>
      <c r="O16" s="5">
        <v>4</v>
      </c>
      <c r="P16" s="31">
        <v>4</v>
      </c>
      <c r="Q16" s="35">
        <v>5</v>
      </c>
      <c r="R16" s="5">
        <v>5</v>
      </c>
      <c r="S16" s="5">
        <v>4</v>
      </c>
      <c r="T16" s="5">
        <v>4</v>
      </c>
      <c r="U16" s="5">
        <v>4</v>
      </c>
      <c r="V16" s="5">
        <v>5</v>
      </c>
      <c r="W16" s="5">
        <v>3</v>
      </c>
      <c r="X16" s="5">
        <v>3</v>
      </c>
      <c r="Y16" s="5">
        <v>5</v>
      </c>
      <c r="Z16" s="5">
        <v>4</v>
      </c>
      <c r="AA16" s="31">
        <v>5</v>
      </c>
      <c r="AB16" s="50">
        <v>5</v>
      </c>
      <c r="AC16" s="48">
        <v>5</v>
      </c>
      <c r="AD16" s="48">
        <v>5</v>
      </c>
      <c r="AE16" s="48">
        <v>4</v>
      </c>
      <c r="AF16" s="48">
        <v>5</v>
      </c>
      <c r="AG16" s="48">
        <v>5</v>
      </c>
      <c r="AH16" s="48">
        <v>5</v>
      </c>
      <c r="AI16" s="48">
        <v>4</v>
      </c>
      <c r="AJ16" s="48">
        <v>5</v>
      </c>
      <c r="AK16" s="48">
        <v>5</v>
      </c>
      <c r="AL16" s="48">
        <v>5</v>
      </c>
      <c r="AM16" s="48">
        <v>4</v>
      </c>
      <c r="AN16" s="48">
        <v>5</v>
      </c>
      <c r="AO16" s="48">
        <v>5</v>
      </c>
      <c r="AP16" s="48">
        <v>4</v>
      </c>
      <c r="AQ16" s="51">
        <v>4</v>
      </c>
    </row>
    <row r="17" spans="1:43" s="1" customFormat="1" x14ac:dyDescent="0.2">
      <c r="A17" s="8">
        <v>45526</v>
      </c>
      <c r="B17" s="11" t="s">
        <v>30</v>
      </c>
      <c r="C17" s="16" t="s">
        <v>27</v>
      </c>
      <c r="D17" s="114">
        <v>3</v>
      </c>
      <c r="E17" s="32" t="s">
        <v>33</v>
      </c>
      <c r="F17" s="35">
        <v>5</v>
      </c>
      <c r="G17" s="5">
        <v>5</v>
      </c>
      <c r="H17" s="5">
        <v>5</v>
      </c>
      <c r="I17" s="5">
        <v>5</v>
      </c>
      <c r="J17" s="5">
        <v>5</v>
      </c>
      <c r="K17" s="5">
        <v>5</v>
      </c>
      <c r="L17" s="5">
        <v>5</v>
      </c>
      <c r="M17" s="5">
        <v>5</v>
      </c>
      <c r="N17" s="5">
        <v>5</v>
      </c>
      <c r="O17" s="5">
        <v>5</v>
      </c>
      <c r="P17" s="31">
        <v>5</v>
      </c>
      <c r="Q17" s="35">
        <v>5</v>
      </c>
      <c r="R17" s="5">
        <v>5</v>
      </c>
      <c r="S17" s="5">
        <v>5</v>
      </c>
      <c r="T17" s="5">
        <v>4</v>
      </c>
      <c r="U17" s="5">
        <v>4</v>
      </c>
      <c r="V17" s="5">
        <v>5</v>
      </c>
      <c r="W17" s="5">
        <v>5</v>
      </c>
      <c r="X17" s="5">
        <v>5</v>
      </c>
      <c r="Y17" s="5">
        <v>5</v>
      </c>
      <c r="Z17" s="5">
        <v>5</v>
      </c>
      <c r="AA17" s="31">
        <v>4</v>
      </c>
      <c r="AB17" s="50">
        <v>5</v>
      </c>
      <c r="AC17" s="48">
        <v>5</v>
      </c>
      <c r="AD17" s="48">
        <v>5</v>
      </c>
      <c r="AE17" s="48">
        <v>5</v>
      </c>
      <c r="AF17" s="48">
        <v>5</v>
      </c>
      <c r="AG17" s="48">
        <v>5</v>
      </c>
      <c r="AH17" s="48">
        <v>5</v>
      </c>
      <c r="AI17" s="48">
        <v>5</v>
      </c>
      <c r="AJ17" s="48">
        <v>5</v>
      </c>
      <c r="AK17" s="48">
        <v>5</v>
      </c>
      <c r="AL17" s="48">
        <v>5</v>
      </c>
      <c r="AM17" s="48">
        <v>5</v>
      </c>
      <c r="AN17" s="48">
        <v>3</v>
      </c>
      <c r="AO17" s="48">
        <v>4</v>
      </c>
      <c r="AP17" s="48">
        <v>4</v>
      </c>
      <c r="AQ17" s="51">
        <v>4</v>
      </c>
    </row>
    <row r="18" spans="1:43" s="4" customFormat="1" x14ac:dyDescent="0.2">
      <c r="A18" s="8">
        <v>45526</v>
      </c>
      <c r="B18" s="11" t="s">
        <v>30</v>
      </c>
      <c r="C18" s="16" t="s">
        <v>27</v>
      </c>
      <c r="D18" s="7">
        <v>4</v>
      </c>
      <c r="E18" s="32" t="s">
        <v>33</v>
      </c>
      <c r="F18" s="35">
        <v>5</v>
      </c>
      <c r="G18" s="5">
        <v>5</v>
      </c>
      <c r="H18" s="5">
        <v>5</v>
      </c>
      <c r="I18" s="5">
        <v>5</v>
      </c>
      <c r="J18" s="5">
        <v>5</v>
      </c>
      <c r="K18" s="5">
        <v>5</v>
      </c>
      <c r="L18" s="5">
        <v>5</v>
      </c>
      <c r="M18" s="5">
        <v>5</v>
      </c>
      <c r="N18" s="5">
        <v>5</v>
      </c>
      <c r="O18" s="5">
        <v>5</v>
      </c>
      <c r="P18" s="31">
        <v>5</v>
      </c>
      <c r="Q18" s="35">
        <v>5</v>
      </c>
      <c r="R18" s="5">
        <v>5</v>
      </c>
      <c r="S18" s="5">
        <v>5</v>
      </c>
      <c r="T18" s="5">
        <v>5</v>
      </c>
      <c r="U18" s="5">
        <v>3</v>
      </c>
      <c r="V18" s="5">
        <v>5</v>
      </c>
      <c r="W18" s="5">
        <v>5</v>
      </c>
      <c r="X18" s="5">
        <v>5</v>
      </c>
      <c r="Y18" s="5">
        <v>5</v>
      </c>
      <c r="Z18" s="5">
        <v>5</v>
      </c>
      <c r="AA18" s="31">
        <v>5</v>
      </c>
      <c r="AB18" s="50">
        <v>4</v>
      </c>
      <c r="AC18" s="48">
        <v>3</v>
      </c>
      <c r="AD18" s="48">
        <v>5</v>
      </c>
      <c r="AE18" s="48">
        <v>5</v>
      </c>
      <c r="AF18" s="48">
        <v>4</v>
      </c>
      <c r="AG18" s="48">
        <v>4</v>
      </c>
      <c r="AH18" s="48">
        <v>5</v>
      </c>
      <c r="AI18" s="48">
        <v>5</v>
      </c>
      <c r="AJ18" s="48">
        <v>3</v>
      </c>
      <c r="AK18" s="48">
        <v>3</v>
      </c>
      <c r="AL18" s="48">
        <v>5</v>
      </c>
      <c r="AM18" s="48">
        <v>4</v>
      </c>
      <c r="AN18" s="48">
        <v>2</v>
      </c>
      <c r="AO18" s="48">
        <v>2</v>
      </c>
      <c r="AP18" s="48">
        <v>5</v>
      </c>
      <c r="AQ18" s="51">
        <v>5</v>
      </c>
    </row>
    <row r="19" spans="1:43" s="1" customFormat="1" x14ac:dyDescent="0.2">
      <c r="A19" s="8">
        <v>45530</v>
      </c>
      <c r="B19" s="11" t="s">
        <v>30</v>
      </c>
      <c r="C19" s="16" t="s">
        <v>27</v>
      </c>
      <c r="D19" s="114">
        <v>7</v>
      </c>
      <c r="E19" s="32" t="s">
        <v>6</v>
      </c>
      <c r="F19" s="35">
        <v>5</v>
      </c>
      <c r="G19" s="5">
        <v>5</v>
      </c>
      <c r="H19" s="5">
        <v>5</v>
      </c>
      <c r="I19" s="5">
        <v>5</v>
      </c>
      <c r="J19" s="5">
        <v>5</v>
      </c>
      <c r="K19" s="5">
        <v>5</v>
      </c>
      <c r="L19" s="5">
        <v>5</v>
      </c>
      <c r="M19" s="5">
        <v>3</v>
      </c>
      <c r="N19" s="5">
        <v>4</v>
      </c>
      <c r="O19" s="5">
        <v>5</v>
      </c>
      <c r="P19" s="31">
        <v>5</v>
      </c>
      <c r="Q19" s="35">
        <v>5</v>
      </c>
      <c r="R19" s="5">
        <v>5</v>
      </c>
      <c r="S19" s="5">
        <v>5</v>
      </c>
      <c r="T19" s="5">
        <v>4</v>
      </c>
      <c r="U19" s="5">
        <v>5</v>
      </c>
      <c r="V19" s="5">
        <v>4</v>
      </c>
      <c r="W19" s="5">
        <v>3</v>
      </c>
      <c r="X19" s="5">
        <v>5</v>
      </c>
      <c r="Y19" s="5">
        <v>5</v>
      </c>
      <c r="Z19" s="5">
        <v>5</v>
      </c>
      <c r="AA19" s="31">
        <v>5</v>
      </c>
      <c r="AB19" s="50">
        <v>4</v>
      </c>
      <c r="AC19" s="48">
        <v>5</v>
      </c>
      <c r="AD19" s="48">
        <v>5</v>
      </c>
      <c r="AE19" s="48">
        <v>5</v>
      </c>
      <c r="AF19" s="48">
        <v>5</v>
      </c>
      <c r="AG19" s="48">
        <v>4</v>
      </c>
      <c r="AH19" s="48">
        <v>5</v>
      </c>
      <c r="AI19" s="48">
        <v>5</v>
      </c>
      <c r="AJ19" s="48">
        <v>5</v>
      </c>
      <c r="AK19" s="48">
        <v>4</v>
      </c>
      <c r="AL19" s="48">
        <v>5</v>
      </c>
      <c r="AM19" s="48">
        <v>5</v>
      </c>
      <c r="AN19" s="48">
        <v>4</v>
      </c>
      <c r="AO19" s="48">
        <v>4</v>
      </c>
      <c r="AP19" s="48">
        <v>4</v>
      </c>
      <c r="AQ19" s="51">
        <v>4</v>
      </c>
    </row>
    <row r="20" spans="1:43" s="1" customFormat="1" x14ac:dyDescent="0.2">
      <c r="A20" s="8">
        <v>45530</v>
      </c>
      <c r="B20" s="11" t="s">
        <v>30</v>
      </c>
      <c r="C20" s="16" t="s">
        <v>27</v>
      </c>
      <c r="D20" s="114">
        <v>3</v>
      </c>
      <c r="E20" s="32" t="s">
        <v>33</v>
      </c>
      <c r="F20" s="35">
        <v>4</v>
      </c>
      <c r="G20" s="5">
        <v>5</v>
      </c>
      <c r="H20" s="5">
        <v>5</v>
      </c>
      <c r="I20" s="5">
        <v>5</v>
      </c>
      <c r="J20" s="5">
        <v>5</v>
      </c>
      <c r="K20" s="5">
        <v>4</v>
      </c>
      <c r="L20" s="5">
        <v>3</v>
      </c>
      <c r="M20" s="5">
        <v>4</v>
      </c>
      <c r="N20" s="5">
        <v>5</v>
      </c>
      <c r="O20" s="5">
        <v>3</v>
      </c>
      <c r="P20" s="31">
        <v>3</v>
      </c>
      <c r="Q20" s="35">
        <v>5</v>
      </c>
      <c r="R20" s="5">
        <v>4</v>
      </c>
      <c r="S20" s="5">
        <v>5</v>
      </c>
      <c r="T20" s="5">
        <v>5</v>
      </c>
      <c r="U20" s="5">
        <v>4</v>
      </c>
      <c r="V20" s="5">
        <v>5</v>
      </c>
      <c r="W20" s="5">
        <v>4</v>
      </c>
      <c r="X20" s="5">
        <v>5</v>
      </c>
      <c r="Y20" s="5">
        <v>5</v>
      </c>
      <c r="Z20" s="5">
        <v>5</v>
      </c>
      <c r="AA20" s="31">
        <v>5</v>
      </c>
      <c r="AB20" s="50">
        <v>5</v>
      </c>
      <c r="AC20" s="48">
        <v>4</v>
      </c>
      <c r="AD20" s="48">
        <v>5</v>
      </c>
      <c r="AE20" s="48">
        <v>5</v>
      </c>
      <c r="AF20" s="48">
        <v>5</v>
      </c>
      <c r="AG20" s="48">
        <v>5</v>
      </c>
      <c r="AH20" s="48">
        <v>5</v>
      </c>
      <c r="AI20" s="48">
        <v>4</v>
      </c>
      <c r="AJ20" s="48">
        <v>5</v>
      </c>
      <c r="AK20" s="48">
        <v>4</v>
      </c>
      <c r="AL20" s="48">
        <v>5</v>
      </c>
      <c r="AM20" s="48">
        <v>4</v>
      </c>
      <c r="AN20" s="48">
        <v>5</v>
      </c>
      <c r="AO20" s="48">
        <v>5</v>
      </c>
      <c r="AP20" s="48">
        <v>4</v>
      </c>
      <c r="AQ20" s="51">
        <v>3</v>
      </c>
    </row>
    <row r="21" spans="1:43" s="1" customFormat="1" x14ac:dyDescent="0.2">
      <c r="A21" s="10">
        <v>45530</v>
      </c>
      <c r="B21" s="11" t="s">
        <v>30</v>
      </c>
      <c r="C21" s="16" t="s">
        <v>29</v>
      </c>
      <c r="D21" s="114">
        <v>17</v>
      </c>
      <c r="E21" s="32" t="s">
        <v>6</v>
      </c>
      <c r="F21" s="35">
        <v>5</v>
      </c>
      <c r="G21" s="5">
        <v>5</v>
      </c>
      <c r="H21" s="5">
        <v>5</v>
      </c>
      <c r="I21" s="5">
        <v>4</v>
      </c>
      <c r="J21" s="5">
        <v>4</v>
      </c>
      <c r="K21" s="5">
        <v>5</v>
      </c>
      <c r="L21" s="5">
        <v>3</v>
      </c>
      <c r="M21" s="5">
        <v>5</v>
      </c>
      <c r="N21" s="5">
        <v>4</v>
      </c>
      <c r="O21" s="5">
        <v>5</v>
      </c>
      <c r="P21" s="31">
        <v>5</v>
      </c>
      <c r="Q21" s="35">
        <v>5</v>
      </c>
      <c r="R21" s="5">
        <v>5</v>
      </c>
      <c r="S21" s="5">
        <v>5</v>
      </c>
      <c r="T21" s="5">
        <v>4</v>
      </c>
      <c r="U21" s="5">
        <v>4</v>
      </c>
      <c r="V21" s="5">
        <v>5</v>
      </c>
      <c r="W21" s="5">
        <v>3</v>
      </c>
      <c r="X21" s="5">
        <v>3</v>
      </c>
      <c r="Y21" s="5">
        <v>4</v>
      </c>
      <c r="Z21" s="5">
        <v>4</v>
      </c>
      <c r="AA21" s="31">
        <v>5</v>
      </c>
      <c r="AB21" s="50">
        <v>4</v>
      </c>
      <c r="AC21" s="48">
        <v>4</v>
      </c>
      <c r="AD21" s="48">
        <v>4</v>
      </c>
      <c r="AE21" s="48">
        <v>4</v>
      </c>
      <c r="AF21" s="48">
        <v>5</v>
      </c>
      <c r="AG21" s="48">
        <v>4</v>
      </c>
      <c r="AH21" s="48">
        <v>4</v>
      </c>
      <c r="AI21" s="48">
        <v>4</v>
      </c>
      <c r="AJ21" s="48">
        <v>4</v>
      </c>
      <c r="AK21" s="48">
        <v>3</v>
      </c>
      <c r="AL21" s="48">
        <v>5</v>
      </c>
      <c r="AM21" s="48">
        <v>4</v>
      </c>
      <c r="AN21" s="48">
        <v>3</v>
      </c>
      <c r="AO21" s="48">
        <v>4</v>
      </c>
      <c r="AP21" s="48">
        <v>4</v>
      </c>
      <c r="AQ21" s="51">
        <v>4</v>
      </c>
    </row>
    <row r="22" spans="1:43" s="1" customFormat="1" x14ac:dyDescent="0.2">
      <c r="A22" s="8">
        <v>45530</v>
      </c>
      <c r="B22" s="11" t="s">
        <v>30</v>
      </c>
      <c r="C22" s="16" t="s">
        <v>27</v>
      </c>
      <c r="D22" s="7">
        <v>18</v>
      </c>
      <c r="E22" s="32" t="s">
        <v>6</v>
      </c>
      <c r="F22" s="35">
        <v>3</v>
      </c>
      <c r="G22" s="5">
        <v>5</v>
      </c>
      <c r="H22" s="5">
        <v>5</v>
      </c>
      <c r="I22" s="5">
        <v>5</v>
      </c>
      <c r="J22" s="5">
        <v>5</v>
      </c>
      <c r="K22" s="5">
        <v>5</v>
      </c>
      <c r="L22" s="5">
        <v>5</v>
      </c>
      <c r="M22" s="5">
        <v>4</v>
      </c>
      <c r="N22" s="5">
        <v>3</v>
      </c>
      <c r="O22" s="5">
        <v>3</v>
      </c>
      <c r="P22" s="31">
        <v>5</v>
      </c>
      <c r="Q22" s="35">
        <v>3</v>
      </c>
      <c r="R22" s="5">
        <v>5</v>
      </c>
      <c r="S22" s="5">
        <v>3</v>
      </c>
      <c r="T22" s="5">
        <v>5</v>
      </c>
      <c r="U22" s="5">
        <v>5</v>
      </c>
      <c r="V22" s="5">
        <v>5</v>
      </c>
      <c r="W22" s="5">
        <v>5</v>
      </c>
      <c r="X22" s="5">
        <v>5</v>
      </c>
      <c r="Y22" s="5">
        <v>5</v>
      </c>
      <c r="Z22" s="5">
        <v>5</v>
      </c>
      <c r="AA22" s="31">
        <v>5</v>
      </c>
      <c r="AB22" s="50">
        <v>3</v>
      </c>
      <c r="AC22" s="48">
        <v>5</v>
      </c>
      <c r="AD22" s="48">
        <v>5</v>
      </c>
      <c r="AE22" s="48">
        <v>5</v>
      </c>
      <c r="AF22" s="48">
        <v>5</v>
      </c>
      <c r="AG22" s="48">
        <v>5</v>
      </c>
      <c r="AH22" s="48">
        <v>5</v>
      </c>
      <c r="AI22" s="48">
        <v>5</v>
      </c>
      <c r="AJ22" s="48">
        <v>5</v>
      </c>
      <c r="AK22" s="48">
        <v>5</v>
      </c>
      <c r="AL22" s="48">
        <v>5</v>
      </c>
      <c r="AM22" s="48">
        <v>5</v>
      </c>
      <c r="AN22" s="48">
        <v>4</v>
      </c>
      <c r="AO22" s="48">
        <v>5</v>
      </c>
      <c r="AP22" s="48">
        <v>5</v>
      </c>
      <c r="AQ22" s="51">
        <v>5</v>
      </c>
    </row>
    <row r="23" spans="1:43" s="1" customFormat="1" ht="13.5" thickBot="1" x14ac:dyDescent="0.25">
      <c r="A23" s="120">
        <v>45532</v>
      </c>
      <c r="B23" s="121" t="s">
        <v>30</v>
      </c>
      <c r="C23" s="122" t="s">
        <v>27</v>
      </c>
      <c r="D23" s="123">
        <v>3</v>
      </c>
      <c r="E23" s="124" t="s">
        <v>33</v>
      </c>
      <c r="F23" s="125">
        <v>4</v>
      </c>
      <c r="G23" s="126">
        <v>5</v>
      </c>
      <c r="H23" s="126">
        <v>5</v>
      </c>
      <c r="I23" s="126">
        <v>4</v>
      </c>
      <c r="J23" s="126">
        <v>4</v>
      </c>
      <c r="K23" s="126">
        <v>4</v>
      </c>
      <c r="L23" s="126">
        <v>4</v>
      </c>
      <c r="M23" s="126">
        <v>4</v>
      </c>
      <c r="N23" s="126">
        <v>4</v>
      </c>
      <c r="O23" s="126">
        <v>4</v>
      </c>
      <c r="P23" s="127">
        <v>4</v>
      </c>
      <c r="Q23" s="125">
        <v>4</v>
      </c>
      <c r="R23" s="126">
        <v>3</v>
      </c>
      <c r="S23" s="126">
        <v>4</v>
      </c>
      <c r="T23" s="126">
        <v>3</v>
      </c>
      <c r="U23" s="126">
        <v>4</v>
      </c>
      <c r="V23" s="126">
        <v>4</v>
      </c>
      <c r="W23" s="126">
        <v>3</v>
      </c>
      <c r="X23" s="126">
        <v>3</v>
      </c>
      <c r="Y23" s="126">
        <v>4</v>
      </c>
      <c r="Z23" s="126">
        <v>4</v>
      </c>
      <c r="AA23" s="127">
        <v>5</v>
      </c>
      <c r="AB23" s="94">
        <v>4</v>
      </c>
      <c r="AC23" s="95">
        <v>4</v>
      </c>
      <c r="AD23" s="95">
        <v>5</v>
      </c>
      <c r="AE23" s="95">
        <v>4</v>
      </c>
      <c r="AF23" s="95">
        <v>4</v>
      </c>
      <c r="AG23" s="95">
        <v>5</v>
      </c>
      <c r="AH23" s="95">
        <v>4</v>
      </c>
      <c r="AI23" s="95">
        <v>4</v>
      </c>
      <c r="AJ23" s="95">
        <v>4</v>
      </c>
      <c r="AK23" s="95">
        <v>4</v>
      </c>
      <c r="AL23" s="95">
        <v>5</v>
      </c>
      <c r="AM23" s="95">
        <v>4</v>
      </c>
      <c r="AN23" s="95">
        <v>4</v>
      </c>
      <c r="AO23" s="95">
        <v>4</v>
      </c>
      <c r="AP23" s="95">
        <v>3</v>
      </c>
      <c r="AQ23" s="96">
        <v>3</v>
      </c>
    </row>
    <row r="24" spans="1:43" ht="13.5" thickBot="1" x14ac:dyDescent="0.25"/>
    <row r="25" spans="1:43" s="67" customFormat="1" x14ac:dyDescent="0.2">
      <c r="A25" s="152" t="s">
        <v>64</v>
      </c>
      <c r="B25" s="153"/>
      <c r="C25" s="146" t="s">
        <v>66</v>
      </c>
      <c r="D25" s="117">
        <f>MAX(D3:D23)</f>
        <v>30</v>
      </c>
      <c r="E25" s="149" t="s">
        <v>66</v>
      </c>
      <c r="F25" s="84">
        <f>MAX(F3:F23)</f>
        <v>5</v>
      </c>
      <c r="G25" s="70">
        <f t="shared" ref="G25:P25" si="0">MAX(G3:G23)</f>
        <v>5</v>
      </c>
      <c r="H25" s="70">
        <f t="shared" si="0"/>
        <v>5</v>
      </c>
      <c r="I25" s="70">
        <f t="shared" si="0"/>
        <v>5</v>
      </c>
      <c r="J25" s="70">
        <f t="shared" si="0"/>
        <v>5</v>
      </c>
      <c r="K25" s="70">
        <f t="shared" si="0"/>
        <v>5</v>
      </c>
      <c r="L25" s="70">
        <f t="shared" si="0"/>
        <v>5</v>
      </c>
      <c r="M25" s="70">
        <f t="shared" si="0"/>
        <v>5</v>
      </c>
      <c r="N25" s="70">
        <f t="shared" si="0"/>
        <v>5</v>
      </c>
      <c r="O25" s="70">
        <f t="shared" si="0"/>
        <v>5</v>
      </c>
      <c r="P25" s="72">
        <f t="shared" si="0"/>
        <v>5</v>
      </c>
      <c r="Q25" s="76">
        <f t="shared" ref="Q25:AA25" si="1">MAX(Q3:Q23)</f>
        <v>5</v>
      </c>
      <c r="R25" s="70">
        <f t="shared" si="1"/>
        <v>5</v>
      </c>
      <c r="S25" s="70">
        <f t="shared" si="1"/>
        <v>5</v>
      </c>
      <c r="T25" s="70">
        <f t="shared" si="1"/>
        <v>5</v>
      </c>
      <c r="U25" s="70">
        <f t="shared" si="1"/>
        <v>5</v>
      </c>
      <c r="V25" s="70">
        <f t="shared" si="1"/>
        <v>5</v>
      </c>
      <c r="W25" s="70">
        <f t="shared" si="1"/>
        <v>5</v>
      </c>
      <c r="X25" s="70">
        <f t="shared" si="1"/>
        <v>5</v>
      </c>
      <c r="Y25" s="70">
        <f t="shared" si="1"/>
        <v>5</v>
      </c>
      <c r="Z25" s="70">
        <f t="shared" si="1"/>
        <v>5</v>
      </c>
      <c r="AA25" s="77">
        <f t="shared" si="1"/>
        <v>5</v>
      </c>
      <c r="AB25" s="76">
        <f>MAX(AB15:AB23)</f>
        <v>5</v>
      </c>
      <c r="AC25" s="70">
        <f t="shared" ref="AC25:AQ25" si="2">MAX(AC15:AC23)</f>
        <v>5</v>
      </c>
      <c r="AD25" s="70">
        <f t="shared" si="2"/>
        <v>5</v>
      </c>
      <c r="AE25" s="70">
        <f t="shared" si="2"/>
        <v>5</v>
      </c>
      <c r="AF25" s="70">
        <f t="shared" si="2"/>
        <v>5</v>
      </c>
      <c r="AG25" s="70">
        <f t="shared" si="2"/>
        <v>5</v>
      </c>
      <c r="AH25" s="70">
        <f t="shared" si="2"/>
        <v>5</v>
      </c>
      <c r="AI25" s="70">
        <f t="shared" si="2"/>
        <v>5</v>
      </c>
      <c r="AJ25" s="70">
        <f t="shared" si="2"/>
        <v>5</v>
      </c>
      <c r="AK25" s="70">
        <f t="shared" si="2"/>
        <v>5</v>
      </c>
      <c r="AL25" s="70">
        <f t="shared" si="2"/>
        <v>5</v>
      </c>
      <c r="AM25" s="70">
        <f t="shared" si="2"/>
        <v>5</v>
      </c>
      <c r="AN25" s="70">
        <f t="shared" si="2"/>
        <v>5</v>
      </c>
      <c r="AO25" s="70">
        <f t="shared" si="2"/>
        <v>5</v>
      </c>
      <c r="AP25" s="70">
        <f t="shared" si="2"/>
        <v>5</v>
      </c>
      <c r="AQ25" s="77">
        <f t="shared" si="2"/>
        <v>5</v>
      </c>
    </row>
    <row r="26" spans="1:43" s="67" customFormat="1" x14ac:dyDescent="0.2">
      <c r="A26" s="154" t="s">
        <v>9</v>
      </c>
      <c r="B26" s="155"/>
      <c r="C26" s="147"/>
      <c r="D26" s="118">
        <f>AVERAGE(D3:D23)</f>
        <v>8.9047619047619051</v>
      </c>
      <c r="E26" s="150"/>
      <c r="F26" s="85">
        <f>AVERAGE(F3:F23)</f>
        <v>4.4285714285714288</v>
      </c>
      <c r="G26" s="68">
        <f t="shared" ref="G26:P26" si="3">AVERAGE(G3:G23)</f>
        <v>4.9047619047619051</v>
      </c>
      <c r="H26" s="68">
        <f t="shared" si="3"/>
        <v>4.8571428571428568</v>
      </c>
      <c r="I26" s="68">
        <f t="shared" si="3"/>
        <v>4.6190476190476186</v>
      </c>
      <c r="J26" s="68">
        <f t="shared" si="3"/>
        <v>4.6190476190476186</v>
      </c>
      <c r="K26" s="68">
        <f t="shared" si="3"/>
        <v>4.3809523809523814</v>
      </c>
      <c r="L26" s="68">
        <f t="shared" si="3"/>
        <v>4.0952380952380949</v>
      </c>
      <c r="M26" s="68">
        <f t="shared" si="3"/>
        <v>4.0952380952380949</v>
      </c>
      <c r="N26" s="68">
        <f t="shared" si="3"/>
        <v>4.2380952380952381</v>
      </c>
      <c r="O26" s="68">
        <f t="shared" si="3"/>
        <v>4.4761904761904763</v>
      </c>
      <c r="P26" s="73">
        <f t="shared" si="3"/>
        <v>4.4761904761904763</v>
      </c>
      <c r="Q26" s="78">
        <f t="shared" ref="Q26:AA26" si="4">AVERAGE(Q3:Q23)</f>
        <v>4.2380952380952381</v>
      </c>
      <c r="R26" s="68">
        <f t="shared" si="4"/>
        <v>4.1904761904761907</v>
      </c>
      <c r="S26" s="68">
        <f t="shared" si="4"/>
        <v>4.3809523809523814</v>
      </c>
      <c r="T26" s="68">
        <f t="shared" si="4"/>
        <v>4</v>
      </c>
      <c r="U26" s="68">
        <f t="shared" si="4"/>
        <v>3.8095238095238093</v>
      </c>
      <c r="V26" s="68">
        <f t="shared" si="4"/>
        <v>4.4285714285714288</v>
      </c>
      <c r="W26" s="68">
        <f t="shared" si="4"/>
        <v>3.6666666666666665</v>
      </c>
      <c r="X26" s="68">
        <f t="shared" si="4"/>
        <v>3.9523809523809526</v>
      </c>
      <c r="Y26" s="68">
        <f t="shared" si="4"/>
        <v>4.5238095238095237</v>
      </c>
      <c r="Z26" s="68">
        <f t="shared" si="4"/>
        <v>3.9523809523809526</v>
      </c>
      <c r="AA26" s="79">
        <f t="shared" si="4"/>
        <v>4.4285714285714288</v>
      </c>
      <c r="AB26" s="78">
        <f>AVERAGE(AB15:AB23)</f>
        <v>4.1111111111111107</v>
      </c>
      <c r="AC26" s="68">
        <f t="shared" ref="AC26:AQ26" si="5">AVERAGE(AC15:AC23)</f>
        <v>4.333333333333333</v>
      </c>
      <c r="AD26" s="68">
        <f t="shared" si="5"/>
        <v>4.666666666666667</v>
      </c>
      <c r="AE26" s="68">
        <f t="shared" si="5"/>
        <v>4.4444444444444446</v>
      </c>
      <c r="AF26" s="68">
        <f t="shared" si="5"/>
        <v>4.5555555555555554</v>
      </c>
      <c r="AG26" s="68">
        <f t="shared" si="5"/>
        <v>4.5555555555555554</v>
      </c>
      <c r="AH26" s="68">
        <f t="shared" si="5"/>
        <v>4.5555555555555554</v>
      </c>
      <c r="AI26" s="68">
        <f t="shared" si="5"/>
        <v>4.4444444444444446</v>
      </c>
      <c r="AJ26" s="68">
        <f t="shared" si="5"/>
        <v>4.5555555555555554</v>
      </c>
      <c r="AK26" s="68">
        <f t="shared" si="5"/>
        <v>4</v>
      </c>
      <c r="AL26" s="68">
        <f t="shared" si="5"/>
        <v>4.8888888888888893</v>
      </c>
      <c r="AM26" s="68">
        <f t="shared" si="5"/>
        <v>4.333333333333333</v>
      </c>
      <c r="AN26" s="68">
        <f t="shared" si="5"/>
        <v>3.6666666666666665</v>
      </c>
      <c r="AO26" s="68">
        <f t="shared" si="5"/>
        <v>4.1111111111111107</v>
      </c>
      <c r="AP26" s="68">
        <f t="shared" si="5"/>
        <v>4</v>
      </c>
      <c r="AQ26" s="79">
        <f t="shared" si="5"/>
        <v>4</v>
      </c>
    </row>
    <row r="27" spans="1:43" s="67" customFormat="1" x14ac:dyDescent="0.2">
      <c r="A27" s="154" t="s">
        <v>8</v>
      </c>
      <c r="B27" s="155"/>
      <c r="C27" s="147"/>
      <c r="D27" s="118">
        <f>MEDIAN(D3:D23)</f>
        <v>7</v>
      </c>
      <c r="E27" s="150"/>
      <c r="F27" s="85">
        <f>MEDIAN(F3:F23)</f>
        <v>5</v>
      </c>
      <c r="G27" s="68">
        <f t="shared" ref="G27:P27" si="6">MEDIAN(G3:G23)</f>
        <v>5</v>
      </c>
      <c r="H27" s="68">
        <f t="shared" si="6"/>
        <v>5</v>
      </c>
      <c r="I27" s="68">
        <f t="shared" si="6"/>
        <v>5</v>
      </c>
      <c r="J27" s="68">
        <f t="shared" si="6"/>
        <v>5</v>
      </c>
      <c r="K27" s="68">
        <f t="shared" si="6"/>
        <v>5</v>
      </c>
      <c r="L27" s="68">
        <f t="shared" si="6"/>
        <v>4</v>
      </c>
      <c r="M27" s="68">
        <f t="shared" si="6"/>
        <v>4</v>
      </c>
      <c r="N27" s="68">
        <f t="shared" si="6"/>
        <v>4</v>
      </c>
      <c r="O27" s="68">
        <f t="shared" si="6"/>
        <v>5</v>
      </c>
      <c r="P27" s="73">
        <f t="shared" si="6"/>
        <v>5</v>
      </c>
      <c r="Q27" s="78">
        <f t="shared" ref="Q27:AA27" si="7">MEDIAN(Q3:Q23)</f>
        <v>5</v>
      </c>
      <c r="R27" s="68">
        <f t="shared" si="7"/>
        <v>5</v>
      </c>
      <c r="S27" s="68">
        <f t="shared" si="7"/>
        <v>4</v>
      </c>
      <c r="T27" s="68">
        <f t="shared" si="7"/>
        <v>4</v>
      </c>
      <c r="U27" s="68">
        <f t="shared" si="7"/>
        <v>4</v>
      </c>
      <c r="V27" s="68">
        <f t="shared" si="7"/>
        <v>4</v>
      </c>
      <c r="W27" s="68">
        <f t="shared" si="7"/>
        <v>3</v>
      </c>
      <c r="X27" s="68">
        <f t="shared" si="7"/>
        <v>4</v>
      </c>
      <c r="Y27" s="68">
        <f t="shared" si="7"/>
        <v>5</v>
      </c>
      <c r="Z27" s="68">
        <f t="shared" si="7"/>
        <v>4</v>
      </c>
      <c r="AA27" s="79">
        <f t="shared" si="7"/>
        <v>5</v>
      </c>
      <c r="AB27" s="78">
        <f>MEDIAN(AB15:AB23)</f>
        <v>4</v>
      </c>
      <c r="AC27" s="68">
        <f t="shared" ref="AC27:AQ27" si="8">MEDIAN(AC15:AC23)</f>
        <v>4</v>
      </c>
      <c r="AD27" s="68">
        <f t="shared" si="8"/>
        <v>5</v>
      </c>
      <c r="AE27" s="68">
        <f t="shared" si="8"/>
        <v>5</v>
      </c>
      <c r="AF27" s="68">
        <f t="shared" si="8"/>
        <v>5</v>
      </c>
      <c r="AG27" s="68">
        <f t="shared" si="8"/>
        <v>5</v>
      </c>
      <c r="AH27" s="68">
        <f t="shared" si="8"/>
        <v>5</v>
      </c>
      <c r="AI27" s="68">
        <f t="shared" si="8"/>
        <v>4</v>
      </c>
      <c r="AJ27" s="68">
        <f t="shared" si="8"/>
        <v>5</v>
      </c>
      <c r="AK27" s="68">
        <f t="shared" si="8"/>
        <v>4</v>
      </c>
      <c r="AL27" s="68">
        <f t="shared" si="8"/>
        <v>5</v>
      </c>
      <c r="AM27" s="68">
        <f t="shared" si="8"/>
        <v>4</v>
      </c>
      <c r="AN27" s="68">
        <f t="shared" si="8"/>
        <v>4</v>
      </c>
      <c r="AO27" s="68">
        <f t="shared" si="8"/>
        <v>4</v>
      </c>
      <c r="AP27" s="68">
        <f t="shared" si="8"/>
        <v>4</v>
      </c>
      <c r="AQ27" s="79">
        <f t="shared" si="8"/>
        <v>4</v>
      </c>
    </row>
    <row r="28" spans="1:43" s="67" customFormat="1" x14ac:dyDescent="0.2">
      <c r="A28" s="156" t="s">
        <v>65</v>
      </c>
      <c r="B28" s="157"/>
      <c r="C28" s="147"/>
      <c r="D28" s="118">
        <f>MIN(D3:D23)</f>
        <v>2</v>
      </c>
      <c r="E28" s="150"/>
      <c r="F28" s="86">
        <f>MIN(F3:F23)</f>
        <v>3</v>
      </c>
      <c r="G28" s="69">
        <f t="shared" ref="G28:P28" si="9">MIN(G3:G23)</f>
        <v>4</v>
      </c>
      <c r="H28" s="69">
        <f t="shared" si="9"/>
        <v>4</v>
      </c>
      <c r="I28" s="69">
        <f t="shared" si="9"/>
        <v>3</v>
      </c>
      <c r="J28" s="69">
        <f t="shared" si="9"/>
        <v>3</v>
      </c>
      <c r="K28" s="69">
        <f t="shared" si="9"/>
        <v>3</v>
      </c>
      <c r="L28" s="69">
        <f t="shared" si="9"/>
        <v>3</v>
      </c>
      <c r="M28" s="69">
        <f t="shared" si="9"/>
        <v>3</v>
      </c>
      <c r="N28" s="69">
        <f t="shared" si="9"/>
        <v>3</v>
      </c>
      <c r="O28" s="69">
        <f t="shared" si="9"/>
        <v>3</v>
      </c>
      <c r="P28" s="74">
        <f t="shared" si="9"/>
        <v>3</v>
      </c>
      <c r="Q28" s="80">
        <f t="shared" ref="Q28:AA28" si="10">MIN(Q3:Q23)</f>
        <v>2</v>
      </c>
      <c r="R28" s="69">
        <f t="shared" si="10"/>
        <v>2</v>
      </c>
      <c r="S28" s="69">
        <f t="shared" si="10"/>
        <v>3</v>
      </c>
      <c r="T28" s="69">
        <f t="shared" si="10"/>
        <v>2</v>
      </c>
      <c r="U28" s="69">
        <f t="shared" si="10"/>
        <v>2</v>
      </c>
      <c r="V28" s="69">
        <f t="shared" si="10"/>
        <v>3</v>
      </c>
      <c r="W28" s="69">
        <f t="shared" si="10"/>
        <v>2</v>
      </c>
      <c r="X28" s="69">
        <f t="shared" si="10"/>
        <v>3</v>
      </c>
      <c r="Y28" s="69">
        <f t="shared" si="10"/>
        <v>4</v>
      </c>
      <c r="Z28" s="69">
        <f t="shared" si="10"/>
        <v>2</v>
      </c>
      <c r="AA28" s="81">
        <f t="shared" si="10"/>
        <v>2</v>
      </c>
      <c r="AB28" s="80">
        <f>MIN(AB15:AB23)</f>
        <v>3</v>
      </c>
      <c r="AC28" s="69">
        <f t="shared" ref="AC28:AQ28" si="11">MIN(AC15:AC23)</f>
        <v>3</v>
      </c>
      <c r="AD28" s="69">
        <f t="shared" si="11"/>
        <v>3</v>
      </c>
      <c r="AE28" s="69">
        <f t="shared" si="11"/>
        <v>3</v>
      </c>
      <c r="AF28" s="69">
        <f t="shared" si="11"/>
        <v>3</v>
      </c>
      <c r="AG28" s="69">
        <f t="shared" si="11"/>
        <v>4</v>
      </c>
      <c r="AH28" s="69">
        <f t="shared" si="11"/>
        <v>3</v>
      </c>
      <c r="AI28" s="69">
        <f t="shared" si="11"/>
        <v>4</v>
      </c>
      <c r="AJ28" s="69">
        <f t="shared" si="11"/>
        <v>3</v>
      </c>
      <c r="AK28" s="69">
        <f t="shared" si="11"/>
        <v>3</v>
      </c>
      <c r="AL28" s="69">
        <f t="shared" si="11"/>
        <v>4</v>
      </c>
      <c r="AM28" s="69">
        <f t="shared" si="11"/>
        <v>4</v>
      </c>
      <c r="AN28" s="69">
        <f t="shared" si="11"/>
        <v>2</v>
      </c>
      <c r="AO28" s="69">
        <f t="shared" si="11"/>
        <v>2</v>
      </c>
      <c r="AP28" s="69">
        <f t="shared" si="11"/>
        <v>3</v>
      </c>
      <c r="AQ28" s="81">
        <f t="shared" si="11"/>
        <v>3</v>
      </c>
    </row>
    <row r="29" spans="1:43" s="67" customFormat="1" ht="13.5" thickBot="1" x14ac:dyDescent="0.25">
      <c r="A29" s="158" t="s">
        <v>10</v>
      </c>
      <c r="B29" s="159"/>
      <c r="C29" s="148"/>
      <c r="D29" s="119">
        <f>_xlfn.STDEV.P(D3:D23)</f>
        <v>7.8127171171644543</v>
      </c>
      <c r="E29" s="151"/>
      <c r="F29" s="87">
        <f>_xlfn.STDEV.P(F3:F23)</f>
        <v>0.72843135908468359</v>
      </c>
      <c r="G29" s="71">
        <f t="shared" ref="G29:P29" si="12">_xlfn.STDEV.P(G3:G23)</f>
        <v>0.29354352395090366</v>
      </c>
      <c r="H29" s="71">
        <f t="shared" si="12"/>
        <v>0.34992710611188266</v>
      </c>
      <c r="I29" s="71">
        <f t="shared" si="12"/>
        <v>0.57538314159974158</v>
      </c>
      <c r="J29" s="71">
        <f t="shared" si="12"/>
        <v>0.57538314159974158</v>
      </c>
      <c r="K29" s="71">
        <f t="shared" si="12"/>
        <v>0.72217861371919523</v>
      </c>
      <c r="L29" s="71">
        <f t="shared" si="12"/>
        <v>0.81092316028220957</v>
      </c>
      <c r="M29" s="71">
        <f t="shared" si="12"/>
        <v>0.68346190925749162</v>
      </c>
      <c r="N29" s="71">
        <f t="shared" si="12"/>
        <v>0.74990551181064868</v>
      </c>
      <c r="O29" s="71">
        <f t="shared" si="12"/>
        <v>0.73153769027320081</v>
      </c>
      <c r="P29" s="75">
        <f t="shared" si="12"/>
        <v>0.58708704790180732</v>
      </c>
      <c r="Q29" s="82">
        <f t="shared" ref="Q29:AA29" si="13">_xlfn.STDEV.P(Q3:Q23)</f>
        <v>0.92090855265779603</v>
      </c>
      <c r="R29" s="71">
        <f t="shared" si="13"/>
        <v>1.0056529562829941</v>
      </c>
      <c r="S29" s="71">
        <f t="shared" si="13"/>
        <v>0.65291948575248038</v>
      </c>
      <c r="T29" s="71">
        <f t="shared" si="13"/>
        <v>0.9759000729485332</v>
      </c>
      <c r="U29" s="71">
        <f t="shared" si="13"/>
        <v>1.0056529562829941</v>
      </c>
      <c r="V29" s="71">
        <f t="shared" si="13"/>
        <v>0.58321184351980426</v>
      </c>
      <c r="W29" s="71">
        <f t="shared" si="13"/>
        <v>0.99203174552379325</v>
      </c>
      <c r="X29" s="71">
        <f t="shared" si="13"/>
        <v>0.89847439352920033</v>
      </c>
      <c r="Y29" s="71">
        <f t="shared" si="13"/>
        <v>0.4994327848429293</v>
      </c>
      <c r="Z29" s="71">
        <f t="shared" si="13"/>
        <v>0.94999701634571443</v>
      </c>
      <c r="AA29" s="83">
        <f t="shared" si="13"/>
        <v>1.0497813183356477</v>
      </c>
      <c r="AB29" s="82">
        <f>_xlfn.STDEV.P(AB15:AB23)</f>
        <v>0.7370277311900888</v>
      </c>
      <c r="AC29" s="71">
        <f t="shared" ref="AC29:AQ29" si="14">_xlfn.STDEV.P(AC15:AC23)</f>
        <v>0.66666666666666663</v>
      </c>
      <c r="AD29" s="71">
        <f t="shared" si="14"/>
        <v>0.66666666666666663</v>
      </c>
      <c r="AE29" s="71">
        <f t="shared" si="14"/>
        <v>0.6849348892187751</v>
      </c>
      <c r="AF29" s="71">
        <f t="shared" si="14"/>
        <v>0.6849348892187751</v>
      </c>
      <c r="AG29" s="71">
        <f t="shared" si="14"/>
        <v>0.49690399499995325</v>
      </c>
      <c r="AH29" s="71">
        <f t="shared" si="14"/>
        <v>0.6849348892187751</v>
      </c>
      <c r="AI29" s="71">
        <f t="shared" si="14"/>
        <v>0.49690399499995325</v>
      </c>
      <c r="AJ29" s="71">
        <f t="shared" si="14"/>
        <v>0.6849348892187751</v>
      </c>
      <c r="AK29" s="71">
        <f t="shared" si="14"/>
        <v>0.81649658092772603</v>
      </c>
      <c r="AL29" s="71">
        <f t="shared" si="14"/>
        <v>0.31426968052735449</v>
      </c>
      <c r="AM29" s="71">
        <f t="shared" si="14"/>
        <v>0.47140452079103168</v>
      </c>
      <c r="AN29" s="71">
        <f t="shared" si="14"/>
        <v>0.94280904158206336</v>
      </c>
      <c r="AO29" s="71">
        <f t="shared" si="14"/>
        <v>0.87488976377909011</v>
      </c>
      <c r="AP29" s="71">
        <f t="shared" si="14"/>
        <v>0.66666666666666663</v>
      </c>
      <c r="AQ29" s="83">
        <f t="shared" si="14"/>
        <v>0.66666666666666663</v>
      </c>
    </row>
    <row r="31" spans="1:43" ht="13.5" thickBot="1" x14ac:dyDescent="0.25"/>
    <row r="32" spans="1:43" ht="39" thickBot="1" x14ac:dyDescent="0.25">
      <c r="E32" s="101" t="s">
        <v>67</v>
      </c>
      <c r="F32" s="97" t="s">
        <v>21</v>
      </c>
      <c r="G32" s="91" t="s">
        <v>22</v>
      </c>
      <c r="H32" s="91" t="s">
        <v>12</v>
      </c>
      <c r="I32" s="92" t="s">
        <v>13</v>
      </c>
      <c r="J32" s="92" t="s">
        <v>14</v>
      </c>
      <c r="K32" s="92" t="s">
        <v>15</v>
      </c>
      <c r="L32" s="92" t="s">
        <v>16</v>
      </c>
      <c r="M32" s="92" t="s">
        <v>17</v>
      </c>
      <c r="N32" s="92" t="s">
        <v>18</v>
      </c>
      <c r="O32" s="92" t="s">
        <v>19</v>
      </c>
      <c r="P32" s="93" t="s">
        <v>20</v>
      </c>
      <c r="Q32" s="105" t="s">
        <v>63</v>
      </c>
      <c r="R32" s="106" t="s">
        <v>85</v>
      </c>
      <c r="S32" s="106" t="s">
        <v>84</v>
      </c>
      <c r="T32" s="106" t="s">
        <v>83</v>
      </c>
      <c r="U32" s="106" t="s">
        <v>59</v>
      </c>
      <c r="V32" s="106" t="s">
        <v>82</v>
      </c>
      <c r="W32" s="106" t="s">
        <v>57</v>
      </c>
      <c r="X32" s="106" t="s">
        <v>56</v>
      </c>
      <c r="Y32" s="106" t="s">
        <v>55</v>
      </c>
      <c r="Z32" s="106" t="s">
        <v>81</v>
      </c>
      <c r="AA32" s="108" t="s">
        <v>53</v>
      </c>
      <c r="AB32" s="112" t="s">
        <v>35</v>
      </c>
      <c r="AC32" s="92" t="s">
        <v>36</v>
      </c>
      <c r="AD32" s="92" t="s">
        <v>37</v>
      </c>
      <c r="AE32" s="92" t="s">
        <v>38</v>
      </c>
      <c r="AF32" s="92" t="s">
        <v>39</v>
      </c>
      <c r="AG32" s="92" t="s">
        <v>40</v>
      </c>
      <c r="AH32" s="92" t="s">
        <v>41</v>
      </c>
      <c r="AI32" s="92" t="s">
        <v>42</v>
      </c>
      <c r="AJ32" s="92" t="s">
        <v>43</v>
      </c>
      <c r="AK32" s="92" t="s">
        <v>44</v>
      </c>
      <c r="AL32" s="92" t="s">
        <v>45</v>
      </c>
      <c r="AM32" s="92" t="s">
        <v>46</v>
      </c>
      <c r="AN32" s="92" t="s">
        <v>47</v>
      </c>
      <c r="AO32" s="92" t="s">
        <v>48</v>
      </c>
      <c r="AP32" s="92" t="s">
        <v>49</v>
      </c>
      <c r="AQ32" s="93" t="s">
        <v>50</v>
      </c>
    </row>
    <row r="33" spans="3:43" x14ac:dyDescent="0.2">
      <c r="C33" s="128"/>
      <c r="E33" s="88">
        <v>5</v>
      </c>
      <c r="F33" s="84">
        <f t="shared" ref="F33:P37" si="15">COUNTIF(F$3:F$23,$E33)</f>
        <v>12</v>
      </c>
      <c r="G33" s="70">
        <f t="shared" si="15"/>
        <v>19</v>
      </c>
      <c r="H33" s="70">
        <f t="shared" si="15"/>
        <v>18</v>
      </c>
      <c r="I33" s="70">
        <f t="shared" si="15"/>
        <v>14</v>
      </c>
      <c r="J33" s="70">
        <f t="shared" si="15"/>
        <v>14</v>
      </c>
      <c r="K33" s="70">
        <f t="shared" si="15"/>
        <v>11</v>
      </c>
      <c r="L33" s="70">
        <f t="shared" si="15"/>
        <v>8</v>
      </c>
      <c r="M33" s="70">
        <f t="shared" si="15"/>
        <v>6</v>
      </c>
      <c r="N33" s="70">
        <f t="shared" si="15"/>
        <v>9</v>
      </c>
      <c r="O33" s="70">
        <f t="shared" si="15"/>
        <v>13</v>
      </c>
      <c r="P33" s="77">
        <f t="shared" si="15"/>
        <v>11</v>
      </c>
      <c r="Q33" s="76">
        <f t="shared" ref="Q33:AA37" si="16">COUNTIF(Q$3:Q$23,$E33)</f>
        <v>11</v>
      </c>
      <c r="R33" s="70">
        <f t="shared" si="16"/>
        <v>11</v>
      </c>
      <c r="S33" s="70">
        <f t="shared" si="16"/>
        <v>10</v>
      </c>
      <c r="T33" s="70">
        <f t="shared" si="16"/>
        <v>8</v>
      </c>
      <c r="U33" s="70">
        <f t="shared" si="16"/>
        <v>6</v>
      </c>
      <c r="V33" s="70">
        <f t="shared" si="16"/>
        <v>10</v>
      </c>
      <c r="W33" s="70">
        <f t="shared" si="16"/>
        <v>6</v>
      </c>
      <c r="X33" s="70">
        <f t="shared" si="16"/>
        <v>8</v>
      </c>
      <c r="Y33" s="70">
        <f t="shared" si="16"/>
        <v>11</v>
      </c>
      <c r="Z33" s="70">
        <f t="shared" si="16"/>
        <v>7</v>
      </c>
      <c r="AA33" s="72">
        <f t="shared" si="16"/>
        <v>15</v>
      </c>
      <c r="AB33" s="76">
        <f t="shared" ref="AB33:AQ37" si="17">COUNTIF(AB$15:AB$23,$E33)</f>
        <v>3</v>
      </c>
      <c r="AC33" s="70">
        <f t="shared" si="17"/>
        <v>4</v>
      </c>
      <c r="AD33" s="70">
        <f t="shared" si="17"/>
        <v>7</v>
      </c>
      <c r="AE33" s="70">
        <f t="shared" si="17"/>
        <v>5</v>
      </c>
      <c r="AF33" s="70">
        <f t="shared" si="17"/>
        <v>6</v>
      </c>
      <c r="AG33" s="70">
        <f t="shared" si="17"/>
        <v>5</v>
      </c>
      <c r="AH33" s="70">
        <f t="shared" si="17"/>
        <v>6</v>
      </c>
      <c r="AI33" s="70">
        <f t="shared" si="17"/>
        <v>4</v>
      </c>
      <c r="AJ33" s="70">
        <f t="shared" si="17"/>
        <v>6</v>
      </c>
      <c r="AK33" s="70">
        <f t="shared" si="17"/>
        <v>3</v>
      </c>
      <c r="AL33" s="70">
        <f t="shared" si="17"/>
        <v>8</v>
      </c>
      <c r="AM33" s="70">
        <f t="shared" si="17"/>
        <v>3</v>
      </c>
      <c r="AN33" s="70">
        <f t="shared" si="17"/>
        <v>2</v>
      </c>
      <c r="AO33" s="70">
        <f t="shared" si="17"/>
        <v>3</v>
      </c>
      <c r="AP33" s="70">
        <f t="shared" si="17"/>
        <v>2</v>
      </c>
      <c r="AQ33" s="77">
        <f t="shared" si="17"/>
        <v>2</v>
      </c>
    </row>
    <row r="34" spans="3:43" x14ac:dyDescent="0.2">
      <c r="E34" s="89">
        <v>4</v>
      </c>
      <c r="F34" s="98">
        <f t="shared" si="15"/>
        <v>6</v>
      </c>
      <c r="G34" s="48">
        <f t="shared" si="15"/>
        <v>2</v>
      </c>
      <c r="H34" s="48">
        <f t="shared" si="15"/>
        <v>3</v>
      </c>
      <c r="I34" s="48">
        <f t="shared" si="15"/>
        <v>6</v>
      </c>
      <c r="J34" s="48">
        <f t="shared" si="15"/>
        <v>6</v>
      </c>
      <c r="K34" s="48">
        <f t="shared" si="15"/>
        <v>7</v>
      </c>
      <c r="L34" s="48">
        <f t="shared" si="15"/>
        <v>7</v>
      </c>
      <c r="M34" s="48">
        <f t="shared" si="15"/>
        <v>11</v>
      </c>
      <c r="N34" s="48">
        <f t="shared" si="15"/>
        <v>8</v>
      </c>
      <c r="O34" s="48">
        <f t="shared" si="15"/>
        <v>5</v>
      </c>
      <c r="P34" s="51">
        <f t="shared" si="15"/>
        <v>9</v>
      </c>
      <c r="Q34" s="50">
        <f t="shared" si="16"/>
        <v>5</v>
      </c>
      <c r="R34" s="48">
        <f t="shared" si="16"/>
        <v>5</v>
      </c>
      <c r="S34" s="48">
        <f t="shared" si="16"/>
        <v>9</v>
      </c>
      <c r="T34" s="48">
        <f t="shared" si="16"/>
        <v>7</v>
      </c>
      <c r="U34" s="48">
        <f t="shared" si="16"/>
        <v>8</v>
      </c>
      <c r="V34" s="48">
        <f t="shared" si="16"/>
        <v>10</v>
      </c>
      <c r="W34" s="48">
        <f t="shared" si="16"/>
        <v>4</v>
      </c>
      <c r="X34" s="48">
        <f t="shared" si="16"/>
        <v>4</v>
      </c>
      <c r="Y34" s="48">
        <f t="shared" si="16"/>
        <v>10</v>
      </c>
      <c r="Z34" s="48">
        <f t="shared" si="16"/>
        <v>8</v>
      </c>
      <c r="AA34" s="109">
        <f t="shared" si="16"/>
        <v>3</v>
      </c>
      <c r="AB34" s="50">
        <f t="shared" si="17"/>
        <v>4</v>
      </c>
      <c r="AC34" s="48">
        <f t="shared" si="17"/>
        <v>4</v>
      </c>
      <c r="AD34" s="48">
        <f t="shared" si="17"/>
        <v>1</v>
      </c>
      <c r="AE34" s="48">
        <f t="shared" si="17"/>
        <v>3</v>
      </c>
      <c r="AF34" s="48">
        <f t="shared" si="17"/>
        <v>2</v>
      </c>
      <c r="AG34" s="48">
        <f t="shared" si="17"/>
        <v>4</v>
      </c>
      <c r="AH34" s="48">
        <f t="shared" si="17"/>
        <v>2</v>
      </c>
      <c r="AI34" s="48">
        <f t="shared" si="17"/>
        <v>5</v>
      </c>
      <c r="AJ34" s="48">
        <f t="shared" si="17"/>
        <v>2</v>
      </c>
      <c r="AK34" s="48">
        <f t="shared" si="17"/>
        <v>3</v>
      </c>
      <c r="AL34" s="48">
        <f t="shared" si="17"/>
        <v>1</v>
      </c>
      <c r="AM34" s="48">
        <f t="shared" si="17"/>
        <v>6</v>
      </c>
      <c r="AN34" s="48">
        <f t="shared" si="17"/>
        <v>3</v>
      </c>
      <c r="AO34" s="48">
        <f t="shared" si="17"/>
        <v>5</v>
      </c>
      <c r="AP34" s="48">
        <f t="shared" si="17"/>
        <v>5</v>
      </c>
      <c r="AQ34" s="51">
        <f t="shared" si="17"/>
        <v>5</v>
      </c>
    </row>
    <row r="35" spans="3:43" x14ac:dyDescent="0.2">
      <c r="E35" s="89">
        <v>3</v>
      </c>
      <c r="F35" s="98">
        <f t="shared" si="15"/>
        <v>3</v>
      </c>
      <c r="G35" s="48">
        <f t="shared" si="15"/>
        <v>0</v>
      </c>
      <c r="H35" s="48">
        <f t="shared" si="15"/>
        <v>0</v>
      </c>
      <c r="I35" s="48">
        <f t="shared" si="15"/>
        <v>1</v>
      </c>
      <c r="J35" s="48">
        <f t="shared" si="15"/>
        <v>1</v>
      </c>
      <c r="K35" s="48">
        <f t="shared" si="15"/>
        <v>3</v>
      </c>
      <c r="L35" s="48">
        <f t="shared" si="15"/>
        <v>6</v>
      </c>
      <c r="M35" s="48">
        <f t="shared" si="15"/>
        <v>4</v>
      </c>
      <c r="N35" s="48">
        <f t="shared" si="15"/>
        <v>4</v>
      </c>
      <c r="O35" s="48">
        <f t="shared" si="15"/>
        <v>3</v>
      </c>
      <c r="P35" s="51">
        <f t="shared" si="15"/>
        <v>1</v>
      </c>
      <c r="Q35" s="50">
        <f t="shared" si="16"/>
        <v>4</v>
      </c>
      <c r="R35" s="48">
        <f t="shared" si="16"/>
        <v>3</v>
      </c>
      <c r="S35" s="48">
        <f t="shared" si="16"/>
        <v>2</v>
      </c>
      <c r="T35" s="48">
        <f t="shared" si="16"/>
        <v>4</v>
      </c>
      <c r="U35" s="48">
        <f t="shared" si="16"/>
        <v>4</v>
      </c>
      <c r="V35" s="48">
        <f t="shared" si="16"/>
        <v>1</v>
      </c>
      <c r="W35" s="48">
        <f t="shared" si="16"/>
        <v>9</v>
      </c>
      <c r="X35" s="48">
        <f t="shared" si="16"/>
        <v>9</v>
      </c>
      <c r="Y35" s="48">
        <f t="shared" si="16"/>
        <v>0</v>
      </c>
      <c r="Z35" s="48">
        <f t="shared" si="16"/>
        <v>4</v>
      </c>
      <c r="AA35" s="109">
        <f t="shared" si="16"/>
        <v>0</v>
      </c>
      <c r="AB35" s="50">
        <f t="shared" si="17"/>
        <v>2</v>
      </c>
      <c r="AC35" s="48">
        <f t="shared" si="17"/>
        <v>1</v>
      </c>
      <c r="AD35" s="48">
        <f t="shared" si="17"/>
        <v>1</v>
      </c>
      <c r="AE35" s="48">
        <f t="shared" si="17"/>
        <v>1</v>
      </c>
      <c r="AF35" s="48">
        <f t="shared" si="17"/>
        <v>1</v>
      </c>
      <c r="AG35" s="48">
        <f t="shared" si="17"/>
        <v>0</v>
      </c>
      <c r="AH35" s="48">
        <f t="shared" si="17"/>
        <v>1</v>
      </c>
      <c r="AI35" s="48">
        <f t="shared" si="17"/>
        <v>0</v>
      </c>
      <c r="AJ35" s="48">
        <f t="shared" si="17"/>
        <v>1</v>
      </c>
      <c r="AK35" s="48">
        <f t="shared" si="17"/>
        <v>3</v>
      </c>
      <c r="AL35" s="48">
        <f t="shared" si="17"/>
        <v>0</v>
      </c>
      <c r="AM35" s="48">
        <f t="shared" si="17"/>
        <v>0</v>
      </c>
      <c r="AN35" s="48">
        <f t="shared" si="17"/>
        <v>3</v>
      </c>
      <c r="AO35" s="48">
        <f t="shared" si="17"/>
        <v>0</v>
      </c>
      <c r="AP35" s="48">
        <f t="shared" si="17"/>
        <v>2</v>
      </c>
      <c r="AQ35" s="51">
        <f t="shared" si="17"/>
        <v>2</v>
      </c>
    </row>
    <row r="36" spans="3:43" x14ac:dyDescent="0.2">
      <c r="E36" s="89">
        <v>2</v>
      </c>
      <c r="F36" s="98">
        <f t="shared" si="15"/>
        <v>0</v>
      </c>
      <c r="G36" s="48">
        <f t="shared" si="15"/>
        <v>0</v>
      </c>
      <c r="H36" s="48">
        <f t="shared" si="15"/>
        <v>0</v>
      </c>
      <c r="I36" s="48">
        <f t="shared" si="15"/>
        <v>0</v>
      </c>
      <c r="J36" s="48">
        <f t="shared" si="15"/>
        <v>0</v>
      </c>
      <c r="K36" s="48">
        <f t="shared" si="15"/>
        <v>0</v>
      </c>
      <c r="L36" s="48">
        <f t="shared" si="15"/>
        <v>0</v>
      </c>
      <c r="M36" s="48">
        <f t="shared" si="15"/>
        <v>0</v>
      </c>
      <c r="N36" s="48">
        <f t="shared" si="15"/>
        <v>0</v>
      </c>
      <c r="O36" s="48">
        <f t="shared" si="15"/>
        <v>0</v>
      </c>
      <c r="P36" s="51">
        <f t="shared" si="15"/>
        <v>0</v>
      </c>
      <c r="Q36" s="50">
        <f t="shared" si="16"/>
        <v>1</v>
      </c>
      <c r="R36" s="48">
        <f t="shared" si="16"/>
        <v>2</v>
      </c>
      <c r="S36" s="48">
        <f t="shared" si="16"/>
        <v>0</v>
      </c>
      <c r="T36" s="48">
        <f t="shared" si="16"/>
        <v>2</v>
      </c>
      <c r="U36" s="48">
        <f t="shared" si="16"/>
        <v>3</v>
      </c>
      <c r="V36" s="48">
        <f t="shared" si="16"/>
        <v>0</v>
      </c>
      <c r="W36" s="48">
        <f t="shared" si="16"/>
        <v>2</v>
      </c>
      <c r="X36" s="48">
        <f t="shared" si="16"/>
        <v>0</v>
      </c>
      <c r="Y36" s="48">
        <f t="shared" si="16"/>
        <v>0</v>
      </c>
      <c r="Z36" s="48">
        <f t="shared" si="16"/>
        <v>2</v>
      </c>
      <c r="AA36" s="109">
        <f t="shared" si="16"/>
        <v>3</v>
      </c>
      <c r="AB36" s="50">
        <f t="shared" si="17"/>
        <v>0</v>
      </c>
      <c r="AC36" s="48">
        <f t="shared" si="17"/>
        <v>0</v>
      </c>
      <c r="AD36" s="48">
        <f t="shared" si="17"/>
        <v>0</v>
      </c>
      <c r="AE36" s="48">
        <f t="shared" si="17"/>
        <v>0</v>
      </c>
      <c r="AF36" s="48">
        <f t="shared" si="17"/>
        <v>0</v>
      </c>
      <c r="AG36" s="48">
        <f t="shared" si="17"/>
        <v>0</v>
      </c>
      <c r="AH36" s="48">
        <f t="shared" si="17"/>
        <v>0</v>
      </c>
      <c r="AI36" s="48">
        <f t="shared" si="17"/>
        <v>0</v>
      </c>
      <c r="AJ36" s="48">
        <f t="shared" si="17"/>
        <v>0</v>
      </c>
      <c r="AK36" s="48">
        <f t="shared" si="17"/>
        <v>0</v>
      </c>
      <c r="AL36" s="48">
        <f t="shared" si="17"/>
        <v>0</v>
      </c>
      <c r="AM36" s="48">
        <f t="shared" si="17"/>
        <v>0</v>
      </c>
      <c r="AN36" s="48">
        <f t="shared" si="17"/>
        <v>1</v>
      </c>
      <c r="AO36" s="48">
        <f t="shared" si="17"/>
        <v>1</v>
      </c>
      <c r="AP36" s="48">
        <f t="shared" si="17"/>
        <v>0</v>
      </c>
      <c r="AQ36" s="51">
        <f t="shared" si="17"/>
        <v>0</v>
      </c>
    </row>
    <row r="37" spans="3:43" ht="13.5" thickBot="1" x14ac:dyDescent="0.25">
      <c r="E37" s="90">
        <v>1</v>
      </c>
      <c r="F37" s="99">
        <f t="shared" si="15"/>
        <v>0</v>
      </c>
      <c r="G37" s="53">
        <f t="shared" si="15"/>
        <v>0</v>
      </c>
      <c r="H37" s="53">
        <f t="shared" si="15"/>
        <v>0</v>
      </c>
      <c r="I37" s="53">
        <f t="shared" si="15"/>
        <v>0</v>
      </c>
      <c r="J37" s="53">
        <f t="shared" si="15"/>
        <v>0</v>
      </c>
      <c r="K37" s="53">
        <f t="shared" si="15"/>
        <v>0</v>
      </c>
      <c r="L37" s="53">
        <f t="shared" si="15"/>
        <v>0</v>
      </c>
      <c r="M37" s="53">
        <f t="shared" si="15"/>
        <v>0</v>
      </c>
      <c r="N37" s="53">
        <f t="shared" si="15"/>
        <v>0</v>
      </c>
      <c r="O37" s="53">
        <f t="shared" si="15"/>
        <v>0</v>
      </c>
      <c r="P37" s="54">
        <f t="shared" si="15"/>
        <v>0</v>
      </c>
      <c r="Q37" s="52">
        <f t="shared" si="16"/>
        <v>0</v>
      </c>
      <c r="R37" s="53">
        <f t="shared" si="16"/>
        <v>0</v>
      </c>
      <c r="S37" s="53">
        <f t="shared" si="16"/>
        <v>0</v>
      </c>
      <c r="T37" s="53">
        <f t="shared" si="16"/>
        <v>0</v>
      </c>
      <c r="U37" s="53">
        <f t="shared" si="16"/>
        <v>0</v>
      </c>
      <c r="V37" s="53">
        <f t="shared" si="16"/>
        <v>0</v>
      </c>
      <c r="W37" s="53">
        <f t="shared" si="16"/>
        <v>0</v>
      </c>
      <c r="X37" s="53">
        <f t="shared" si="16"/>
        <v>0</v>
      </c>
      <c r="Y37" s="53">
        <f t="shared" si="16"/>
        <v>0</v>
      </c>
      <c r="Z37" s="53">
        <f t="shared" si="16"/>
        <v>0</v>
      </c>
      <c r="AA37" s="110">
        <f t="shared" si="16"/>
        <v>0</v>
      </c>
      <c r="AB37" s="52">
        <f t="shared" si="17"/>
        <v>0</v>
      </c>
      <c r="AC37" s="53">
        <f t="shared" si="17"/>
        <v>0</v>
      </c>
      <c r="AD37" s="53">
        <f t="shared" si="17"/>
        <v>0</v>
      </c>
      <c r="AE37" s="53">
        <f t="shared" si="17"/>
        <v>0</v>
      </c>
      <c r="AF37" s="53">
        <f t="shared" si="17"/>
        <v>0</v>
      </c>
      <c r="AG37" s="53">
        <f t="shared" si="17"/>
        <v>0</v>
      </c>
      <c r="AH37" s="53">
        <f t="shared" si="17"/>
        <v>0</v>
      </c>
      <c r="AI37" s="53">
        <f t="shared" si="17"/>
        <v>0</v>
      </c>
      <c r="AJ37" s="53">
        <f t="shared" si="17"/>
        <v>0</v>
      </c>
      <c r="AK37" s="53">
        <f t="shared" si="17"/>
        <v>0</v>
      </c>
      <c r="AL37" s="53">
        <f t="shared" si="17"/>
        <v>0</v>
      </c>
      <c r="AM37" s="53">
        <f t="shared" si="17"/>
        <v>0</v>
      </c>
      <c r="AN37" s="53">
        <f t="shared" si="17"/>
        <v>0</v>
      </c>
      <c r="AO37" s="53">
        <f t="shared" si="17"/>
        <v>0</v>
      </c>
      <c r="AP37" s="53">
        <f t="shared" si="17"/>
        <v>0</v>
      </c>
      <c r="AQ37" s="54">
        <f t="shared" si="17"/>
        <v>0</v>
      </c>
    </row>
    <row r="38" spans="3:43" ht="13.5" thickBot="1" x14ac:dyDescent="0.25">
      <c r="E38" s="102" t="s">
        <v>68</v>
      </c>
      <c r="F38" s="100">
        <f>SUM(F33:F37)</f>
        <v>21</v>
      </c>
      <c r="G38" s="95">
        <f>SUM(G33:G37)</f>
        <v>21</v>
      </c>
      <c r="H38" s="95">
        <f>SUM(H33:H37)</f>
        <v>21</v>
      </c>
      <c r="I38" s="95">
        <f>SUM(I33:I37)</f>
        <v>21</v>
      </c>
      <c r="J38" s="95">
        <f t="shared" ref="J38:P38" si="18">SUM(J33:J37)</f>
        <v>21</v>
      </c>
      <c r="K38" s="95">
        <f t="shared" si="18"/>
        <v>21</v>
      </c>
      <c r="L38" s="95">
        <f t="shared" si="18"/>
        <v>21</v>
      </c>
      <c r="M38" s="95">
        <f t="shared" si="18"/>
        <v>21</v>
      </c>
      <c r="N38" s="95">
        <f t="shared" si="18"/>
        <v>21</v>
      </c>
      <c r="O38" s="95">
        <f t="shared" si="18"/>
        <v>21</v>
      </c>
      <c r="P38" s="96">
        <f t="shared" si="18"/>
        <v>21</v>
      </c>
      <c r="Q38" s="94">
        <f>SUM(Q33:Q37)</f>
        <v>21</v>
      </c>
      <c r="R38" s="95">
        <f>SUM(R33:R37)</f>
        <v>21</v>
      </c>
      <c r="S38" s="95">
        <f>SUM(S33:S37)</f>
        <v>21</v>
      </c>
      <c r="T38" s="95">
        <f>SUM(T33:T37)</f>
        <v>21</v>
      </c>
      <c r="U38" s="95">
        <f t="shared" ref="U38:AB38" si="19">SUM(U33:U37)</f>
        <v>21</v>
      </c>
      <c r="V38" s="95">
        <f t="shared" si="19"/>
        <v>21</v>
      </c>
      <c r="W38" s="95">
        <f t="shared" si="19"/>
        <v>21</v>
      </c>
      <c r="X38" s="95">
        <f t="shared" si="19"/>
        <v>21</v>
      </c>
      <c r="Y38" s="95">
        <f t="shared" si="19"/>
        <v>21</v>
      </c>
      <c r="Z38" s="95">
        <f t="shared" si="19"/>
        <v>21</v>
      </c>
      <c r="AA38" s="111">
        <f t="shared" si="19"/>
        <v>21</v>
      </c>
      <c r="AB38" s="94">
        <f t="shared" si="19"/>
        <v>9</v>
      </c>
      <c r="AC38" s="95">
        <f t="shared" ref="AC38:AQ38" si="20">SUM(AC33:AC37)</f>
        <v>9</v>
      </c>
      <c r="AD38" s="95">
        <f t="shared" si="20"/>
        <v>9</v>
      </c>
      <c r="AE38" s="95">
        <f t="shared" si="20"/>
        <v>9</v>
      </c>
      <c r="AF38" s="95">
        <f t="shared" si="20"/>
        <v>9</v>
      </c>
      <c r="AG38" s="95">
        <f t="shared" si="20"/>
        <v>9</v>
      </c>
      <c r="AH38" s="95">
        <f t="shared" si="20"/>
        <v>9</v>
      </c>
      <c r="AI38" s="95">
        <f t="shared" si="20"/>
        <v>9</v>
      </c>
      <c r="AJ38" s="95">
        <f t="shared" si="20"/>
        <v>9</v>
      </c>
      <c r="AK38" s="95">
        <f t="shared" si="20"/>
        <v>9</v>
      </c>
      <c r="AL38" s="95">
        <f t="shared" si="20"/>
        <v>9</v>
      </c>
      <c r="AM38" s="95">
        <f t="shared" si="20"/>
        <v>9</v>
      </c>
      <c r="AN38" s="95">
        <f t="shared" si="20"/>
        <v>9</v>
      </c>
      <c r="AO38" s="95">
        <f t="shared" si="20"/>
        <v>9</v>
      </c>
      <c r="AP38" s="95">
        <f t="shared" si="20"/>
        <v>9</v>
      </c>
      <c r="AQ38" s="96">
        <f t="shared" si="20"/>
        <v>9</v>
      </c>
    </row>
    <row r="39" spans="3:43" ht="13.5" thickBot="1" x14ac:dyDescent="0.25"/>
    <row r="40" spans="3:43" ht="26.25" thickBot="1" x14ac:dyDescent="0.25">
      <c r="E40" s="104" t="s">
        <v>69</v>
      </c>
      <c r="F40" s="97" t="s">
        <v>21</v>
      </c>
      <c r="G40" s="91" t="s">
        <v>22</v>
      </c>
      <c r="H40" s="91" t="s">
        <v>12</v>
      </c>
      <c r="I40" s="92" t="s">
        <v>13</v>
      </c>
      <c r="J40" s="92" t="s">
        <v>14</v>
      </c>
      <c r="K40" s="92" t="s">
        <v>15</v>
      </c>
      <c r="L40" s="92" t="s">
        <v>16</v>
      </c>
      <c r="M40" s="92" t="s">
        <v>17</v>
      </c>
      <c r="N40" s="92" t="s">
        <v>18</v>
      </c>
      <c r="O40" s="92" t="s">
        <v>19</v>
      </c>
      <c r="P40" s="93" t="s">
        <v>20</v>
      </c>
      <c r="Q40" s="107" t="s">
        <v>70</v>
      </c>
      <c r="R40" s="91" t="s">
        <v>71</v>
      </c>
      <c r="S40" s="91" t="s">
        <v>72</v>
      </c>
      <c r="T40" s="92" t="s">
        <v>73</v>
      </c>
      <c r="U40" s="92" t="s">
        <v>74</v>
      </c>
      <c r="V40" s="92" t="s">
        <v>75</v>
      </c>
      <c r="W40" s="92" t="s">
        <v>76</v>
      </c>
      <c r="X40" s="92" t="s">
        <v>77</v>
      </c>
      <c r="Y40" s="92" t="s">
        <v>78</v>
      </c>
      <c r="Z40" s="92" t="s">
        <v>79</v>
      </c>
      <c r="AA40" s="93" t="s">
        <v>80</v>
      </c>
      <c r="AB40" s="112" t="s">
        <v>35</v>
      </c>
      <c r="AC40" s="92" t="s">
        <v>36</v>
      </c>
      <c r="AD40" s="92" t="s">
        <v>37</v>
      </c>
      <c r="AE40" s="92" t="s">
        <v>38</v>
      </c>
      <c r="AF40" s="92" t="s">
        <v>39</v>
      </c>
      <c r="AG40" s="92" t="s">
        <v>40</v>
      </c>
      <c r="AH40" s="92" t="s">
        <v>41</v>
      </c>
      <c r="AI40" s="92" t="s">
        <v>42</v>
      </c>
      <c r="AJ40" s="92" t="s">
        <v>43</v>
      </c>
      <c r="AK40" s="92" t="s">
        <v>44</v>
      </c>
      <c r="AL40" s="92" t="s">
        <v>45</v>
      </c>
      <c r="AM40" s="92" t="s">
        <v>46</v>
      </c>
      <c r="AN40" s="92" t="s">
        <v>47</v>
      </c>
      <c r="AO40" s="92" t="s">
        <v>48</v>
      </c>
      <c r="AP40" s="92" t="s">
        <v>49</v>
      </c>
      <c r="AQ40" s="93" t="s">
        <v>50</v>
      </c>
    </row>
    <row r="41" spans="3:43" x14ac:dyDescent="0.2">
      <c r="E41" s="103" t="s">
        <v>1</v>
      </c>
      <c r="F41" s="84">
        <f t="shared" ref="F41:P41" si="21">F33</f>
        <v>12</v>
      </c>
      <c r="G41" s="70">
        <f t="shared" si="21"/>
        <v>19</v>
      </c>
      <c r="H41" s="70">
        <f t="shared" si="21"/>
        <v>18</v>
      </c>
      <c r="I41" s="70">
        <f t="shared" si="21"/>
        <v>14</v>
      </c>
      <c r="J41" s="70">
        <f t="shared" si="21"/>
        <v>14</v>
      </c>
      <c r="K41" s="70">
        <f t="shared" si="21"/>
        <v>11</v>
      </c>
      <c r="L41" s="70">
        <f t="shared" si="21"/>
        <v>8</v>
      </c>
      <c r="M41" s="70">
        <f t="shared" si="21"/>
        <v>6</v>
      </c>
      <c r="N41" s="70">
        <f t="shared" si="21"/>
        <v>9</v>
      </c>
      <c r="O41" s="70">
        <f t="shared" si="21"/>
        <v>13</v>
      </c>
      <c r="P41" s="77">
        <f t="shared" si="21"/>
        <v>11</v>
      </c>
      <c r="Q41" s="76">
        <f t="shared" ref="Q41:AB41" si="22">Q33</f>
        <v>11</v>
      </c>
      <c r="R41" s="70">
        <f t="shared" si="22"/>
        <v>11</v>
      </c>
      <c r="S41" s="70">
        <f t="shared" si="22"/>
        <v>10</v>
      </c>
      <c r="T41" s="70">
        <f t="shared" si="22"/>
        <v>8</v>
      </c>
      <c r="U41" s="70">
        <f t="shared" si="22"/>
        <v>6</v>
      </c>
      <c r="V41" s="70">
        <f t="shared" si="22"/>
        <v>10</v>
      </c>
      <c r="W41" s="70">
        <f t="shared" si="22"/>
        <v>6</v>
      </c>
      <c r="X41" s="70">
        <f t="shared" si="22"/>
        <v>8</v>
      </c>
      <c r="Y41" s="70">
        <f t="shared" si="22"/>
        <v>11</v>
      </c>
      <c r="Z41" s="70">
        <f t="shared" si="22"/>
        <v>7</v>
      </c>
      <c r="AA41" s="77">
        <f t="shared" si="22"/>
        <v>15</v>
      </c>
      <c r="AB41" s="76">
        <f t="shared" si="22"/>
        <v>3</v>
      </c>
      <c r="AC41" s="70">
        <f t="shared" ref="AC41:AQ41" si="23">AC33</f>
        <v>4</v>
      </c>
      <c r="AD41" s="70">
        <f t="shared" si="23"/>
        <v>7</v>
      </c>
      <c r="AE41" s="70">
        <f t="shared" si="23"/>
        <v>5</v>
      </c>
      <c r="AF41" s="70">
        <f t="shared" si="23"/>
        <v>6</v>
      </c>
      <c r="AG41" s="70">
        <f t="shared" si="23"/>
        <v>5</v>
      </c>
      <c r="AH41" s="70">
        <f t="shared" si="23"/>
        <v>6</v>
      </c>
      <c r="AI41" s="70">
        <f t="shared" si="23"/>
        <v>4</v>
      </c>
      <c r="AJ41" s="70">
        <f t="shared" si="23"/>
        <v>6</v>
      </c>
      <c r="AK41" s="70">
        <f t="shared" si="23"/>
        <v>3</v>
      </c>
      <c r="AL41" s="70">
        <f t="shared" si="23"/>
        <v>8</v>
      </c>
      <c r="AM41" s="70">
        <f t="shared" si="23"/>
        <v>3</v>
      </c>
      <c r="AN41" s="70">
        <f t="shared" si="23"/>
        <v>2</v>
      </c>
      <c r="AO41" s="70">
        <f t="shared" si="23"/>
        <v>3</v>
      </c>
      <c r="AP41" s="70">
        <f t="shared" si="23"/>
        <v>2</v>
      </c>
      <c r="AQ41" s="77">
        <f t="shared" si="23"/>
        <v>2</v>
      </c>
    </row>
    <row r="42" spans="3:43" x14ac:dyDescent="0.2">
      <c r="E42" s="46" t="s">
        <v>3</v>
      </c>
      <c r="F42" s="98">
        <f t="shared" ref="F42:P42" si="24">F34</f>
        <v>6</v>
      </c>
      <c r="G42" s="48">
        <f t="shared" si="24"/>
        <v>2</v>
      </c>
      <c r="H42" s="48">
        <f t="shared" si="24"/>
        <v>3</v>
      </c>
      <c r="I42" s="48">
        <f t="shared" si="24"/>
        <v>6</v>
      </c>
      <c r="J42" s="48">
        <f t="shared" si="24"/>
        <v>6</v>
      </c>
      <c r="K42" s="48">
        <f t="shared" si="24"/>
        <v>7</v>
      </c>
      <c r="L42" s="48">
        <f t="shared" si="24"/>
        <v>7</v>
      </c>
      <c r="M42" s="48">
        <f t="shared" si="24"/>
        <v>11</v>
      </c>
      <c r="N42" s="48">
        <f t="shared" si="24"/>
        <v>8</v>
      </c>
      <c r="O42" s="48">
        <f t="shared" si="24"/>
        <v>5</v>
      </c>
      <c r="P42" s="51">
        <f t="shared" si="24"/>
        <v>9</v>
      </c>
      <c r="Q42" s="50">
        <f t="shared" ref="Q42:AB42" si="25">Q34</f>
        <v>5</v>
      </c>
      <c r="R42" s="48">
        <f t="shared" si="25"/>
        <v>5</v>
      </c>
      <c r="S42" s="48">
        <f t="shared" si="25"/>
        <v>9</v>
      </c>
      <c r="T42" s="48">
        <f t="shared" si="25"/>
        <v>7</v>
      </c>
      <c r="U42" s="48">
        <f t="shared" si="25"/>
        <v>8</v>
      </c>
      <c r="V42" s="48">
        <f t="shared" si="25"/>
        <v>10</v>
      </c>
      <c r="W42" s="48">
        <f t="shared" si="25"/>
        <v>4</v>
      </c>
      <c r="X42" s="48">
        <f t="shared" si="25"/>
        <v>4</v>
      </c>
      <c r="Y42" s="48">
        <f t="shared" si="25"/>
        <v>10</v>
      </c>
      <c r="Z42" s="48">
        <f t="shared" si="25"/>
        <v>8</v>
      </c>
      <c r="AA42" s="51">
        <f t="shared" si="25"/>
        <v>3</v>
      </c>
      <c r="AB42" s="50">
        <f t="shared" si="25"/>
        <v>4</v>
      </c>
      <c r="AC42" s="48">
        <f t="shared" ref="AC42:AQ42" si="26">AC34</f>
        <v>4</v>
      </c>
      <c r="AD42" s="48">
        <f t="shared" si="26"/>
        <v>1</v>
      </c>
      <c r="AE42" s="48">
        <f t="shared" si="26"/>
        <v>3</v>
      </c>
      <c r="AF42" s="48">
        <f t="shared" si="26"/>
        <v>2</v>
      </c>
      <c r="AG42" s="48">
        <f t="shared" si="26"/>
        <v>4</v>
      </c>
      <c r="AH42" s="48">
        <f t="shared" si="26"/>
        <v>2</v>
      </c>
      <c r="AI42" s="48">
        <f t="shared" si="26"/>
        <v>5</v>
      </c>
      <c r="AJ42" s="48">
        <f t="shared" si="26"/>
        <v>2</v>
      </c>
      <c r="AK42" s="48">
        <f t="shared" si="26"/>
        <v>3</v>
      </c>
      <c r="AL42" s="48">
        <f t="shared" si="26"/>
        <v>1</v>
      </c>
      <c r="AM42" s="48">
        <f t="shared" si="26"/>
        <v>6</v>
      </c>
      <c r="AN42" s="48">
        <f t="shared" si="26"/>
        <v>3</v>
      </c>
      <c r="AO42" s="48">
        <f t="shared" si="26"/>
        <v>5</v>
      </c>
      <c r="AP42" s="48">
        <f t="shared" si="26"/>
        <v>5</v>
      </c>
      <c r="AQ42" s="51">
        <f t="shared" si="26"/>
        <v>5</v>
      </c>
    </row>
    <row r="43" spans="3:43" x14ac:dyDescent="0.2">
      <c r="E43" s="46" t="s">
        <v>2</v>
      </c>
      <c r="F43" s="98">
        <f t="shared" ref="F43:P43" si="27">F35/2</f>
        <v>1.5</v>
      </c>
      <c r="G43" s="48">
        <f t="shared" si="27"/>
        <v>0</v>
      </c>
      <c r="H43" s="48">
        <f t="shared" si="27"/>
        <v>0</v>
      </c>
      <c r="I43" s="48">
        <f t="shared" si="27"/>
        <v>0.5</v>
      </c>
      <c r="J43" s="48">
        <f t="shared" si="27"/>
        <v>0.5</v>
      </c>
      <c r="K43" s="48">
        <f t="shared" si="27"/>
        <v>1.5</v>
      </c>
      <c r="L43" s="48">
        <f t="shared" si="27"/>
        <v>3</v>
      </c>
      <c r="M43" s="48">
        <f t="shared" si="27"/>
        <v>2</v>
      </c>
      <c r="N43" s="48">
        <f t="shared" si="27"/>
        <v>2</v>
      </c>
      <c r="O43" s="48">
        <f t="shared" si="27"/>
        <v>1.5</v>
      </c>
      <c r="P43" s="51">
        <f t="shared" si="27"/>
        <v>0.5</v>
      </c>
      <c r="Q43" s="50">
        <f t="shared" ref="Q43:AB43" si="28">Q35/2</f>
        <v>2</v>
      </c>
      <c r="R43" s="48">
        <f t="shared" si="28"/>
        <v>1.5</v>
      </c>
      <c r="S43" s="48">
        <f t="shared" si="28"/>
        <v>1</v>
      </c>
      <c r="T43" s="48">
        <f t="shared" si="28"/>
        <v>2</v>
      </c>
      <c r="U43" s="48">
        <f t="shared" si="28"/>
        <v>2</v>
      </c>
      <c r="V43" s="48">
        <f t="shared" si="28"/>
        <v>0.5</v>
      </c>
      <c r="W43" s="48">
        <f t="shared" si="28"/>
        <v>4.5</v>
      </c>
      <c r="X43" s="48">
        <f t="shared" si="28"/>
        <v>4.5</v>
      </c>
      <c r="Y43" s="48">
        <f t="shared" si="28"/>
        <v>0</v>
      </c>
      <c r="Z43" s="48">
        <f t="shared" si="28"/>
        <v>2</v>
      </c>
      <c r="AA43" s="51">
        <f t="shared" si="28"/>
        <v>0</v>
      </c>
      <c r="AB43" s="50">
        <f t="shared" si="28"/>
        <v>1</v>
      </c>
      <c r="AC43" s="48">
        <f t="shared" ref="AC43:AQ43" si="29">AC35/2</f>
        <v>0.5</v>
      </c>
      <c r="AD43" s="48">
        <f t="shared" si="29"/>
        <v>0.5</v>
      </c>
      <c r="AE43" s="48">
        <f t="shared" si="29"/>
        <v>0.5</v>
      </c>
      <c r="AF43" s="48">
        <f t="shared" si="29"/>
        <v>0.5</v>
      </c>
      <c r="AG43" s="48">
        <f t="shared" si="29"/>
        <v>0</v>
      </c>
      <c r="AH43" s="48">
        <f t="shared" si="29"/>
        <v>0.5</v>
      </c>
      <c r="AI43" s="48">
        <f t="shared" si="29"/>
        <v>0</v>
      </c>
      <c r="AJ43" s="48">
        <f t="shared" si="29"/>
        <v>0.5</v>
      </c>
      <c r="AK43" s="48">
        <f t="shared" si="29"/>
        <v>1.5</v>
      </c>
      <c r="AL43" s="48">
        <f t="shared" si="29"/>
        <v>0</v>
      </c>
      <c r="AM43" s="48">
        <f t="shared" si="29"/>
        <v>0</v>
      </c>
      <c r="AN43" s="48">
        <f t="shared" si="29"/>
        <v>1.5</v>
      </c>
      <c r="AO43" s="48">
        <f t="shared" si="29"/>
        <v>0</v>
      </c>
      <c r="AP43" s="48">
        <f t="shared" si="29"/>
        <v>1</v>
      </c>
      <c r="AQ43" s="51">
        <f t="shared" si="29"/>
        <v>1</v>
      </c>
    </row>
    <row r="44" spans="3:43" x14ac:dyDescent="0.2">
      <c r="E44" s="46" t="s">
        <v>2</v>
      </c>
      <c r="F44" s="98">
        <f t="shared" ref="F44:P44" si="30">-(F35/2)</f>
        <v>-1.5</v>
      </c>
      <c r="G44" s="48">
        <f t="shared" si="30"/>
        <v>0</v>
      </c>
      <c r="H44" s="48">
        <f t="shared" si="30"/>
        <v>0</v>
      </c>
      <c r="I44" s="48">
        <f t="shared" si="30"/>
        <v>-0.5</v>
      </c>
      <c r="J44" s="48">
        <f t="shared" si="30"/>
        <v>-0.5</v>
      </c>
      <c r="K44" s="48">
        <f t="shared" si="30"/>
        <v>-1.5</v>
      </c>
      <c r="L44" s="48">
        <f t="shared" si="30"/>
        <v>-3</v>
      </c>
      <c r="M44" s="48">
        <f t="shared" si="30"/>
        <v>-2</v>
      </c>
      <c r="N44" s="48">
        <f t="shared" si="30"/>
        <v>-2</v>
      </c>
      <c r="O44" s="48">
        <f t="shared" si="30"/>
        <v>-1.5</v>
      </c>
      <c r="P44" s="51">
        <f t="shared" si="30"/>
        <v>-0.5</v>
      </c>
      <c r="Q44" s="50">
        <f t="shared" ref="Q44:AB44" si="31">-(Q35/2)</f>
        <v>-2</v>
      </c>
      <c r="R44" s="48">
        <f t="shared" si="31"/>
        <v>-1.5</v>
      </c>
      <c r="S44" s="48">
        <f t="shared" si="31"/>
        <v>-1</v>
      </c>
      <c r="T44" s="48">
        <f t="shared" si="31"/>
        <v>-2</v>
      </c>
      <c r="U44" s="48">
        <f t="shared" si="31"/>
        <v>-2</v>
      </c>
      <c r="V44" s="48">
        <f t="shared" si="31"/>
        <v>-0.5</v>
      </c>
      <c r="W44" s="48">
        <f t="shared" si="31"/>
        <v>-4.5</v>
      </c>
      <c r="X44" s="48">
        <f t="shared" si="31"/>
        <v>-4.5</v>
      </c>
      <c r="Y44" s="48">
        <f t="shared" si="31"/>
        <v>0</v>
      </c>
      <c r="Z44" s="48">
        <f t="shared" si="31"/>
        <v>-2</v>
      </c>
      <c r="AA44" s="51">
        <f t="shared" si="31"/>
        <v>0</v>
      </c>
      <c r="AB44" s="50">
        <f t="shared" si="31"/>
        <v>-1</v>
      </c>
      <c r="AC44" s="48">
        <f t="shared" ref="AC44:AQ44" si="32">-(AC35/2)</f>
        <v>-0.5</v>
      </c>
      <c r="AD44" s="48">
        <f t="shared" si="32"/>
        <v>-0.5</v>
      </c>
      <c r="AE44" s="48">
        <f t="shared" si="32"/>
        <v>-0.5</v>
      </c>
      <c r="AF44" s="48">
        <f t="shared" si="32"/>
        <v>-0.5</v>
      </c>
      <c r="AG44" s="48">
        <f t="shared" si="32"/>
        <v>0</v>
      </c>
      <c r="AH44" s="48">
        <f t="shared" si="32"/>
        <v>-0.5</v>
      </c>
      <c r="AI44" s="48">
        <f t="shared" si="32"/>
        <v>0</v>
      </c>
      <c r="AJ44" s="48">
        <f t="shared" si="32"/>
        <v>-0.5</v>
      </c>
      <c r="AK44" s="48">
        <f t="shared" si="32"/>
        <v>-1.5</v>
      </c>
      <c r="AL44" s="48">
        <f t="shared" si="32"/>
        <v>0</v>
      </c>
      <c r="AM44" s="48">
        <f t="shared" si="32"/>
        <v>0</v>
      </c>
      <c r="AN44" s="48">
        <f t="shared" si="32"/>
        <v>-1.5</v>
      </c>
      <c r="AO44" s="48">
        <f t="shared" si="32"/>
        <v>0</v>
      </c>
      <c r="AP44" s="48">
        <f t="shared" si="32"/>
        <v>-1</v>
      </c>
      <c r="AQ44" s="51">
        <f t="shared" si="32"/>
        <v>-1</v>
      </c>
    </row>
    <row r="45" spans="3:43" x14ac:dyDescent="0.2">
      <c r="E45" s="46" t="s">
        <v>4</v>
      </c>
      <c r="F45" s="98">
        <f t="shared" ref="F45:P45" si="33">-F36</f>
        <v>0</v>
      </c>
      <c r="G45" s="48">
        <f t="shared" si="33"/>
        <v>0</v>
      </c>
      <c r="H45" s="48">
        <f t="shared" si="33"/>
        <v>0</v>
      </c>
      <c r="I45" s="48">
        <f t="shared" si="33"/>
        <v>0</v>
      </c>
      <c r="J45" s="48">
        <f t="shared" si="33"/>
        <v>0</v>
      </c>
      <c r="K45" s="48">
        <f t="shared" si="33"/>
        <v>0</v>
      </c>
      <c r="L45" s="48">
        <f t="shared" si="33"/>
        <v>0</v>
      </c>
      <c r="M45" s="48">
        <f t="shared" si="33"/>
        <v>0</v>
      </c>
      <c r="N45" s="48">
        <f t="shared" si="33"/>
        <v>0</v>
      </c>
      <c r="O45" s="48">
        <f t="shared" si="33"/>
        <v>0</v>
      </c>
      <c r="P45" s="51">
        <f t="shared" si="33"/>
        <v>0</v>
      </c>
      <c r="Q45" s="50">
        <f t="shared" ref="Q45:AB45" si="34">-Q36</f>
        <v>-1</v>
      </c>
      <c r="R45" s="48">
        <f t="shared" si="34"/>
        <v>-2</v>
      </c>
      <c r="S45" s="48">
        <f t="shared" si="34"/>
        <v>0</v>
      </c>
      <c r="T45" s="48">
        <f t="shared" si="34"/>
        <v>-2</v>
      </c>
      <c r="U45" s="48">
        <f t="shared" si="34"/>
        <v>-3</v>
      </c>
      <c r="V45" s="48">
        <f t="shared" si="34"/>
        <v>0</v>
      </c>
      <c r="W45" s="48">
        <f t="shared" si="34"/>
        <v>-2</v>
      </c>
      <c r="X45" s="48">
        <f t="shared" si="34"/>
        <v>0</v>
      </c>
      <c r="Y45" s="48">
        <f t="shared" si="34"/>
        <v>0</v>
      </c>
      <c r="Z45" s="48">
        <f t="shared" si="34"/>
        <v>-2</v>
      </c>
      <c r="AA45" s="51">
        <f t="shared" si="34"/>
        <v>-3</v>
      </c>
      <c r="AB45" s="50">
        <f t="shared" si="34"/>
        <v>0</v>
      </c>
      <c r="AC45" s="48">
        <f t="shared" ref="AC45:AQ45" si="35">-AC36</f>
        <v>0</v>
      </c>
      <c r="AD45" s="48">
        <f t="shared" si="35"/>
        <v>0</v>
      </c>
      <c r="AE45" s="48">
        <f t="shared" si="35"/>
        <v>0</v>
      </c>
      <c r="AF45" s="48">
        <f t="shared" si="35"/>
        <v>0</v>
      </c>
      <c r="AG45" s="48">
        <f t="shared" si="35"/>
        <v>0</v>
      </c>
      <c r="AH45" s="48">
        <f t="shared" si="35"/>
        <v>0</v>
      </c>
      <c r="AI45" s="48">
        <f t="shared" si="35"/>
        <v>0</v>
      </c>
      <c r="AJ45" s="48">
        <f t="shared" si="35"/>
        <v>0</v>
      </c>
      <c r="AK45" s="48">
        <f t="shared" si="35"/>
        <v>0</v>
      </c>
      <c r="AL45" s="48">
        <f t="shared" si="35"/>
        <v>0</v>
      </c>
      <c r="AM45" s="48">
        <f t="shared" si="35"/>
        <v>0</v>
      </c>
      <c r="AN45" s="48">
        <f t="shared" si="35"/>
        <v>-1</v>
      </c>
      <c r="AO45" s="48">
        <f t="shared" si="35"/>
        <v>-1</v>
      </c>
      <c r="AP45" s="48">
        <f t="shared" si="35"/>
        <v>0</v>
      </c>
      <c r="AQ45" s="51">
        <f t="shared" si="35"/>
        <v>0</v>
      </c>
    </row>
    <row r="46" spans="3:43" ht="13.5" thickBot="1" x14ac:dyDescent="0.25">
      <c r="E46" s="47" t="s">
        <v>7</v>
      </c>
      <c r="F46" s="99">
        <f t="shared" ref="F46:P46" si="36">-F37</f>
        <v>0</v>
      </c>
      <c r="G46" s="53">
        <f t="shared" si="36"/>
        <v>0</v>
      </c>
      <c r="H46" s="53">
        <f t="shared" si="36"/>
        <v>0</v>
      </c>
      <c r="I46" s="53">
        <f t="shared" si="36"/>
        <v>0</v>
      </c>
      <c r="J46" s="53">
        <f t="shared" si="36"/>
        <v>0</v>
      </c>
      <c r="K46" s="53">
        <f t="shared" si="36"/>
        <v>0</v>
      </c>
      <c r="L46" s="53">
        <f t="shared" si="36"/>
        <v>0</v>
      </c>
      <c r="M46" s="53">
        <f t="shared" si="36"/>
        <v>0</v>
      </c>
      <c r="N46" s="53">
        <f t="shared" si="36"/>
        <v>0</v>
      </c>
      <c r="O46" s="53">
        <f t="shared" si="36"/>
        <v>0</v>
      </c>
      <c r="P46" s="54">
        <f t="shared" si="36"/>
        <v>0</v>
      </c>
      <c r="Q46" s="52">
        <f t="shared" ref="Q46:AB46" si="37">-Q37</f>
        <v>0</v>
      </c>
      <c r="R46" s="53">
        <f t="shared" si="37"/>
        <v>0</v>
      </c>
      <c r="S46" s="53">
        <f t="shared" si="37"/>
        <v>0</v>
      </c>
      <c r="T46" s="53">
        <f t="shared" si="37"/>
        <v>0</v>
      </c>
      <c r="U46" s="53">
        <f t="shared" si="37"/>
        <v>0</v>
      </c>
      <c r="V46" s="53">
        <f t="shared" si="37"/>
        <v>0</v>
      </c>
      <c r="W46" s="53">
        <f t="shared" si="37"/>
        <v>0</v>
      </c>
      <c r="X46" s="53">
        <f t="shared" si="37"/>
        <v>0</v>
      </c>
      <c r="Y46" s="53">
        <f t="shared" si="37"/>
        <v>0</v>
      </c>
      <c r="Z46" s="53">
        <f t="shared" si="37"/>
        <v>0</v>
      </c>
      <c r="AA46" s="54">
        <f t="shared" si="37"/>
        <v>0</v>
      </c>
      <c r="AB46" s="52">
        <f t="shared" si="37"/>
        <v>0</v>
      </c>
      <c r="AC46" s="53">
        <f t="shared" ref="AC46:AQ46" si="38">-AC37</f>
        <v>0</v>
      </c>
      <c r="AD46" s="53">
        <f t="shared" si="38"/>
        <v>0</v>
      </c>
      <c r="AE46" s="53">
        <f t="shared" si="38"/>
        <v>0</v>
      </c>
      <c r="AF46" s="53">
        <f t="shared" si="38"/>
        <v>0</v>
      </c>
      <c r="AG46" s="53">
        <f t="shared" si="38"/>
        <v>0</v>
      </c>
      <c r="AH46" s="53">
        <f t="shared" si="38"/>
        <v>0</v>
      </c>
      <c r="AI46" s="53">
        <f t="shared" si="38"/>
        <v>0</v>
      </c>
      <c r="AJ46" s="53">
        <f t="shared" si="38"/>
        <v>0</v>
      </c>
      <c r="AK46" s="53">
        <f t="shared" si="38"/>
        <v>0</v>
      </c>
      <c r="AL46" s="53">
        <f t="shared" si="38"/>
        <v>0</v>
      </c>
      <c r="AM46" s="53">
        <f t="shared" si="38"/>
        <v>0</v>
      </c>
      <c r="AN46" s="53">
        <f t="shared" si="38"/>
        <v>0</v>
      </c>
      <c r="AO46" s="53">
        <f t="shared" si="38"/>
        <v>0</v>
      </c>
      <c r="AP46" s="53">
        <f t="shared" si="38"/>
        <v>0</v>
      </c>
      <c r="AQ46" s="54">
        <f t="shared" si="38"/>
        <v>0</v>
      </c>
    </row>
  </sheetData>
  <mergeCells count="15">
    <mergeCell ref="A1:A2"/>
    <mergeCell ref="B1:B2"/>
    <mergeCell ref="C1:C2"/>
    <mergeCell ref="D1:D2"/>
    <mergeCell ref="E1:E2"/>
    <mergeCell ref="A25:B25"/>
    <mergeCell ref="A26:B26"/>
    <mergeCell ref="A27:B27"/>
    <mergeCell ref="A28:B28"/>
    <mergeCell ref="A29:B29"/>
    <mergeCell ref="C25:C29"/>
    <mergeCell ref="E25:E29"/>
    <mergeCell ref="Q1:AA1"/>
    <mergeCell ref="AB1:AQ1"/>
    <mergeCell ref="F1:P1"/>
  </mergeCells>
  <conditionalFormatting sqref="Q3:AA13 Q15:AA17 Q19:AA21 Q23:AA23">
    <cfRule type="colorScale" priority="22">
      <colorScale>
        <cfvo type="num" val="1"/>
        <cfvo type="num" val="3"/>
        <cfvo type="num" val="5"/>
        <color rgb="FFF8696B"/>
        <color rgb="FFFFEB84"/>
        <color rgb="FF63BE7B"/>
      </colorScale>
    </cfRule>
    <cfRule type="iconSet" priority="23">
      <iconSet iconSet="5Arrows">
        <cfvo type="percent" val="0"/>
        <cfvo type="num" val="2"/>
        <cfvo type="num" val="3"/>
        <cfvo type="num" val="4"/>
        <cfvo type="num" val="5"/>
      </iconSet>
    </cfRule>
  </conditionalFormatting>
  <conditionalFormatting sqref="F14:P14">
    <cfRule type="iconSet" priority="18">
      <iconSet iconSet="5Arrows">
        <cfvo type="percent" val="0"/>
        <cfvo type="num" val="2"/>
        <cfvo type="num" val="3"/>
        <cfvo type="num" val="4"/>
        <cfvo type="num" val="5"/>
      </iconSet>
    </cfRule>
    <cfRule type="colorScale" priority="2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Q14:AA14">
    <cfRule type="colorScale" priority="19">
      <colorScale>
        <cfvo type="num" val="1"/>
        <cfvo type="num" val="3"/>
        <cfvo type="num" val="5"/>
        <color rgb="FFF8696B"/>
        <color rgb="FFFFEB84"/>
        <color rgb="FF63BE7B"/>
      </colorScale>
    </cfRule>
    <cfRule type="iconSet" priority="20">
      <iconSet iconSet="5Arrows">
        <cfvo type="percent" val="0"/>
        <cfvo type="num" val="2"/>
        <cfvo type="num" val="3"/>
        <cfvo type="num" val="4"/>
        <cfvo type="num" val="5"/>
      </iconSet>
    </cfRule>
  </conditionalFormatting>
  <conditionalFormatting sqref="F18:P18">
    <cfRule type="iconSet" priority="14">
      <iconSet iconSet="5Arrows">
        <cfvo type="percent" val="0"/>
        <cfvo type="num" val="2"/>
        <cfvo type="num" val="3"/>
        <cfvo type="num" val="4"/>
        <cfvo type="num" val="5"/>
      </iconSet>
    </cfRule>
    <cfRule type="colorScale" priority="17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Q18:AA18">
    <cfRule type="colorScale" priority="15">
      <colorScale>
        <cfvo type="num" val="1"/>
        <cfvo type="num" val="3"/>
        <cfvo type="num" val="5"/>
        <color rgb="FFF8696B"/>
        <color rgb="FFFFEB84"/>
        <color rgb="FF63BE7B"/>
      </colorScale>
    </cfRule>
    <cfRule type="iconSet" priority="16">
      <iconSet iconSet="5Arrows">
        <cfvo type="percent" val="0"/>
        <cfvo type="num" val="2"/>
        <cfvo type="num" val="3"/>
        <cfvo type="num" val="4"/>
        <cfvo type="num" val="5"/>
      </iconSet>
    </cfRule>
  </conditionalFormatting>
  <conditionalFormatting sqref="F23:P23">
    <cfRule type="iconSet" priority="12">
      <iconSet iconSet="5Arrows">
        <cfvo type="percent" val="0"/>
        <cfvo type="num" val="2"/>
        <cfvo type="num" val="3"/>
        <cfvo type="num" val="4"/>
        <cfvo type="num" val="5"/>
      </iconSet>
    </cfRule>
    <cfRule type="colorScale" priority="13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F15:P17 F19:P21 F3:P13">
    <cfRule type="iconSet" priority="24">
      <iconSet iconSet="5Arrows">
        <cfvo type="percent" val="0"/>
        <cfvo type="num" val="2"/>
        <cfvo type="num" val="3"/>
        <cfvo type="num" val="4"/>
        <cfvo type="num" val="5"/>
      </iconSet>
    </cfRule>
    <cfRule type="colorScale" priority="25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AB15:AQ17 AB19:AQ21 AB23:AQ23">
    <cfRule type="iconSet" priority="26">
      <iconSet iconSet="5Arrows">
        <cfvo type="percent" val="0"/>
        <cfvo type="num" val="2"/>
        <cfvo type="num" val="3"/>
        <cfvo type="num" val="4"/>
        <cfvo type="num" val="5"/>
      </iconSet>
    </cfRule>
    <cfRule type="colorScale" priority="27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AB18:AQ18">
    <cfRule type="iconSet" priority="28">
      <iconSet iconSet="5Arrows">
        <cfvo type="percent" val="0"/>
        <cfvo type="num" val="2"/>
        <cfvo type="num" val="3"/>
        <cfvo type="num" val="4"/>
        <cfvo type="num" val="5"/>
      </iconSet>
    </cfRule>
    <cfRule type="colorScale" priority="29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F26:P27">
    <cfRule type="iconSet" priority="11">
      <iconSet iconSet="5Arrows">
        <cfvo type="percent" val="0"/>
        <cfvo type="num" val="2"/>
        <cfvo type="num" val="3"/>
        <cfvo type="num" val="4"/>
        <cfvo type="num" val="5"/>
      </iconSet>
    </cfRule>
  </conditionalFormatting>
  <conditionalFormatting sqref="Q26:AQ27">
    <cfRule type="iconSet" priority="10">
      <iconSet iconSet="5Arrows">
        <cfvo type="percent" val="0"/>
        <cfvo type="num" val="2"/>
        <cfvo type="num" val="3"/>
        <cfvo type="num" val="4"/>
        <cfvo type="num" val="5"/>
      </iconSet>
    </cfRule>
  </conditionalFormatting>
  <conditionalFormatting sqref="F25:P28">
    <cfRule type="colorScale" priority="9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Q25:AA28">
    <cfRule type="colorScale" priority="8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AB25:AQ28">
    <cfRule type="colorScale" priority="7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Q22:AA22">
    <cfRule type="colorScale" priority="3">
      <colorScale>
        <cfvo type="num" val="1"/>
        <cfvo type="num" val="3"/>
        <cfvo type="num" val="5"/>
        <color rgb="FFF8696B"/>
        <color rgb="FFFFEB84"/>
        <color rgb="FF63BE7B"/>
      </colorScale>
    </cfRule>
    <cfRule type="iconSet" priority="4">
      <iconSet iconSet="5Arrows">
        <cfvo type="percent" val="0"/>
        <cfvo type="num" val="2"/>
        <cfvo type="num" val="3"/>
        <cfvo type="num" val="4"/>
        <cfvo type="num" val="5"/>
      </iconSet>
    </cfRule>
  </conditionalFormatting>
  <conditionalFormatting sqref="F22:P22">
    <cfRule type="iconSet" priority="1">
      <iconSet iconSet="5Arrows">
        <cfvo type="percent" val="0"/>
        <cfvo type="num" val="2"/>
        <cfvo type="num" val="3"/>
        <cfvo type="num" val="4"/>
        <cfvo type="num" val="5"/>
      </iconSet>
    </cfRule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AB22:AQ22">
    <cfRule type="iconSet" priority="5">
      <iconSet iconSet="5Arrows">
        <cfvo type="percent" val="0"/>
        <cfvo type="num" val="2"/>
        <cfvo type="num" val="3"/>
        <cfvo type="num" val="4"/>
        <cfvo type="num" val="5"/>
      </iconSet>
    </cfRule>
    <cfRule type="colorScale" priority="6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Raw data</vt:lpstr>
      <vt:lpstr>Analyzed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2024-09-03T05:06:54Z</dcterms:modified>
</cp:coreProperties>
</file>